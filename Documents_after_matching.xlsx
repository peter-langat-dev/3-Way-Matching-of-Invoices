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AP\Accounts Payables\"/>
    </mc:Choice>
  </mc:AlternateContent>
  <xr:revisionPtr revIDLastSave="0" documentId="13_ncr:1_{F33BCA69-645B-4FCD-B2AE-59DE89C6D480}" xr6:coauthVersionLast="47" xr6:coauthVersionMax="47" xr10:uidLastSave="{00000000-0000-0000-0000-000000000000}"/>
  <bookViews>
    <workbookView xWindow="9330" yWindow="3360" windowWidth="11505" windowHeight="7785" firstSheet="9" activeTab="9" xr2:uid="{00000000-000D-0000-FFFF-FFFF00000000}"/>
  </bookViews>
  <sheets>
    <sheet name="01 Purchase Orders" sheetId="1" r:id="rId1"/>
    <sheet name="02 Receipt Notes" sheetId="2" r:id="rId2"/>
    <sheet name="03 Tax Invoices" sheetId="3" r:id="rId3"/>
    <sheet name="04 Debit Notes" sheetId="4" r:id="rId4"/>
    <sheet name="05 Credit Notes" sheetId="5" r:id="rId5"/>
    <sheet name="06 AP Reconciliation" sheetId="6" r:id="rId6"/>
    <sheet name="07 Bank Statement" sheetId="7" r:id="rId7"/>
    <sheet name="08 Tax Summary" sheetId="8" r:id="rId8"/>
    <sheet name="09 Three-Way Match" sheetId="9" r:id="rId9"/>
    <sheet name="00 Read Me" sheetId="10" r:id="rId10"/>
  </sheets>
  <definedNames>
    <definedName name="_xlnm._FilterDatabase" localSheetId="9" hidden="1">'00 Read Me'!$A$1:$B$11</definedName>
    <definedName name="_xlnm._FilterDatabase" localSheetId="0" hidden="1">'01 Purchase Orders'!$A$1:$M$21</definedName>
    <definedName name="_xlnm._FilterDatabase" localSheetId="1" hidden="1">'02 Receipt Notes'!$A$1:$L$21</definedName>
    <definedName name="_xlnm._FilterDatabase" localSheetId="2" hidden="1">'03 Tax Invoices'!$A$1:$R$21</definedName>
    <definedName name="_xlnm._FilterDatabase" localSheetId="3" hidden="1">'04 Debit Notes'!$A$1:$O$5</definedName>
    <definedName name="_xlnm._FilterDatabase" localSheetId="4" hidden="1">'05 Credit Notes'!$A$1:$O$3</definedName>
    <definedName name="_xlnm._FilterDatabase" localSheetId="5" hidden="1">'06 AP Reconciliation'!$A$1:$J$21</definedName>
    <definedName name="_xlnm._FilterDatabase" localSheetId="6" hidden="1">'07 Bank Statement'!$A$1:$M$24</definedName>
    <definedName name="_xlnm._FilterDatabase" localSheetId="7" hidden="1">'08 Tax Summary'!$A$1:$B$12</definedName>
    <definedName name="_xlnm._FilterDatabase" localSheetId="8" hidden="1">'09 Three-Way Match'!$A$1:$H$21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2" i="3" l="1"/>
  <c r="O22" i="3"/>
  <c r="L22" i="1"/>
  <c r="J22" i="6"/>
  <c r="M4" i="5"/>
  <c r="M6" i="4"/>
  <c r="N6" i="4"/>
  <c r="K6" i="4"/>
  <c r="I22" i="1"/>
  <c r="K22" i="1"/>
  <c r="F22" i="6"/>
  <c r="E22" i="6"/>
  <c r="I22" i="6"/>
  <c r="H22" i="6"/>
  <c r="G22" i="6"/>
</calcChain>
</file>

<file path=xl/sharedStrings.xml><?xml version="1.0" encoding="utf-8"?>
<sst xmlns="http://schemas.openxmlformats.org/spreadsheetml/2006/main" count="1006" uniqueCount="226">
  <si>
    <t>PO Number</t>
  </si>
  <si>
    <t>PO Date</t>
  </si>
  <si>
    <t>Buyer</t>
  </si>
  <si>
    <t>Supplier</t>
  </si>
  <si>
    <t>Product</t>
  </si>
  <si>
    <t>Quantity Ordered (MT)</t>
  </si>
  <si>
    <t>Unit Price (USD/MT)</t>
  </si>
  <si>
    <t>Currency</t>
  </si>
  <si>
    <t>Net PO Value (USD)</t>
  </si>
  <si>
    <t>VAT Rate</t>
  </si>
  <si>
    <t>VAT on PO (USD)</t>
  </si>
  <si>
    <t>Gross PO Value (USD)</t>
  </si>
  <si>
    <t>Status</t>
  </si>
  <si>
    <t>PO-2026-05-001</t>
  </si>
  <si>
    <t>Peter Ke. Ltd</t>
  </si>
  <si>
    <t>Sacho Mills</t>
  </si>
  <si>
    <t>Bran Animal Feed</t>
  </si>
  <si>
    <t>USD</t>
  </si>
  <si>
    <t>Approved</t>
  </si>
  <si>
    <t>PO-2026-05-002</t>
  </si>
  <si>
    <t>PO-2026-05-003</t>
  </si>
  <si>
    <t>PO-2026-05-004</t>
  </si>
  <si>
    <t>PO-2026-05-005</t>
  </si>
  <si>
    <t>PO-2026-05-006</t>
  </si>
  <si>
    <t>PO-2026-05-007</t>
  </si>
  <si>
    <t>PO-2026-05-008</t>
  </si>
  <si>
    <t>PO-2026-05-009</t>
  </si>
  <si>
    <t>PO-2026-05-010</t>
  </si>
  <si>
    <t>PO-2026-05-011</t>
  </si>
  <si>
    <t>PO-2026-05-012</t>
  </si>
  <si>
    <t>PO-2026-05-013</t>
  </si>
  <si>
    <t>PO-2026-05-014</t>
  </si>
  <si>
    <t>PO-2026-05-015</t>
  </si>
  <si>
    <t>PO-2026-05-016</t>
  </si>
  <si>
    <t>PO-2026-05-017</t>
  </si>
  <si>
    <t>PO-2026-05-018</t>
  </si>
  <si>
    <t>PO-2026-05-019</t>
  </si>
  <si>
    <t>PO-2026-05-020</t>
  </si>
  <si>
    <t>Receipt Note No.</t>
  </si>
  <si>
    <t>Receipt Date</t>
  </si>
  <si>
    <t>Received By</t>
  </si>
  <si>
    <t>Quantity Received (MT)</t>
  </si>
  <si>
    <t>Quantity Variance (MT)</t>
  </si>
  <si>
    <t>Condition</t>
  </si>
  <si>
    <t>Warehouse/Farm Location</t>
  </si>
  <si>
    <t>GRN-2026-05-001</t>
  </si>
  <si>
    <t>Warehouse Officer</t>
  </si>
  <si>
    <t>Good</t>
  </si>
  <si>
    <t>Peter Ke. Ltd Farm/Warehouse</t>
  </si>
  <si>
    <t>Matched</t>
  </si>
  <si>
    <t>GRN-2026-05-002</t>
  </si>
  <si>
    <t>GRN-2026-05-003</t>
  </si>
  <si>
    <t>Variance - investigate</t>
  </si>
  <si>
    <t>GRN-2026-05-004</t>
  </si>
  <si>
    <t>GRN-2026-05-005</t>
  </si>
  <si>
    <t>GRN-2026-05-006</t>
  </si>
  <si>
    <t>GRN-2026-05-007</t>
  </si>
  <si>
    <t>GRN-2026-05-008</t>
  </si>
  <si>
    <t>Good; quantity short</t>
  </si>
  <si>
    <t>GRN-2026-05-009</t>
  </si>
  <si>
    <t>GRN-2026-05-010</t>
  </si>
  <si>
    <t>GRN-2026-05-011</t>
  </si>
  <si>
    <t>GRN-2026-05-012</t>
  </si>
  <si>
    <t>GRN-2026-05-013</t>
  </si>
  <si>
    <t>GRN-2026-05-014</t>
  </si>
  <si>
    <t>GRN-2026-05-015</t>
  </si>
  <si>
    <t>GRN-2026-05-016</t>
  </si>
  <si>
    <t>GRN-2026-05-017</t>
  </si>
  <si>
    <t>GRN-2026-05-018</t>
  </si>
  <si>
    <t>GRN-2026-05-019</t>
  </si>
  <si>
    <t>GRN-2026-05-020</t>
  </si>
  <si>
    <t>Invoice Number</t>
  </si>
  <si>
    <t>Invoice Date</t>
  </si>
  <si>
    <t>Supplier PIN</t>
  </si>
  <si>
    <t>Buyer PIN</t>
  </si>
  <si>
    <t>Quantity Billed (MT)</t>
  </si>
  <si>
    <t>Net Amount (USD)</t>
  </si>
  <si>
    <t>VAT Amount (USD)</t>
  </si>
  <si>
    <t>Gross Amount (USD)</t>
  </si>
  <si>
    <t>eTIMS Status</t>
  </si>
  <si>
    <t>QR / CU Identifier</t>
  </si>
  <si>
    <t>INV-SM-2026-0501</t>
  </si>
  <si>
    <t>P051234567X</t>
  </si>
  <si>
    <t>P098765432M</t>
  </si>
  <si>
    <t>TRAINING SAMPLE - NOT TRANSMITTED</t>
  </si>
  <si>
    <t>SAMPLE ONLY</t>
  </si>
  <si>
    <t>INV-SM-2026-0502</t>
  </si>
  <si>
    <t>INV-SM-2026-0503</t>
  </si>
  <si>
    <t>INV-SM-2026-0504</t>
  </si>
  <si>
    <t>INV-SM-2026-0505</t>
  </si>
  <si>
    <t>INV-SM-2026-0506</t>
  </si>
  <si>
    <t>INV-SM-2026-0507</t>
  </si>
  <si>
    <t>INV-SM-2026-0508</t>
  </si>
  <si>
    <t>INV-SM-2026-0509</t>
  </si>
  <si>
    <t>INV-SM-2026-0510</t>
  </si>
  <si>
    <t>INV-SM-2026-0511</t>
  </si>
  <si>
    <t>INV-SM-2026-0512</t>
  </si>
  <si>
    <t>INV-SM-2026-0513</t>
  </si>
  <si>
    <t>INV-SM-2026-0514</t>
  </si>
  <si>
    <t>INV-SM-2026-0515</t>
  </si>
  <si>
    <t>INV-SM-2026-0516</t>
  </si>
  <si>
    <t>INV-SM-2026-0517</t>
  </si>
  <si>
    <t>INV-SM-2026-0518</t>
  </si>
  <si>
    <t>INV-SM-2026-0519</t>
  </si>
  <si>
    <t>INV-SM-2026-0520</t>
  </si>
  <si>
    <t>Debit Note Number</t>
  </si>
  <si>
    <t>Debit Note Date</t>
  </si>
  <si>
    <t>Issued By</t>
  </si>
  <si>
    <t>Issued To</t>
  </si>
  <si>
    <t>Adjustment Quantity (MT)</t>
  </si>
  <si>
    <t>Net Adjustment (USD)</t>
  </si>
  <si>
    <t>VAT Adjustment (USD)</t>
  </si>
  <si>
    <t>Gross Adjustment (USD)</t>
  </si>
  <si>
    <t>Reason</t>
  </si>
  <si>
    <t>DN-PK-2026-05-001</t>
  </si>
  <si>
    <t>Short delivery against PO/GRN</t>
  </si>
  <si>
    <t>DN-PK-2026-05-002</t>
  </si>
  <si>
    <t>DN-PK-2026-05-003</t>
  </si>
  <si>
    <t>DN-PK-2026-05-004</t>
  </si>
  <si>
    <t>Damaged quantity accepted for debit adjustment</t>
  </si>
  <si>
    <t>Credit Note Number</t>
  </si>
  <si>
    <t>Credit Note Date</t>
  </si>
  <si>
    <t>CN-SM-2026-05-001</t>
  </si>
  <si>
    <t>Price adjustment agreed after invoice</t>
  </si>
  <si>
    <t>CN-SM-2026-05-002</t>
  </si>
  <si>
    <t>Quality allowance / commercial settlement</t>
  </si>
  <si>
    <t>Debit Notes (USD)</t>
  </si>
  <si>
    <t>Credit Notes (USD)</t>
  </si>
  <si>
    <t>Adjusted Payable (USD)</t>
  </si>
  <si>
    <t>Account</t>
  </si>
  <si>
    <t>Transaction Date</t>
  </si>
  <si>
    <t>Reference</t>
  </si>
  <si>
    <t>Transaction Type</t>
  </si>
  <si>
    <t>Description</t>
  </si>
  <si>
    <t>Debit (USD)</t>
  </si>
  <si>
    <t>Credit (USD)</t>
  </si>
  <si>
    <t>Net Movement (USD)</t>
  </si>
  <si>
    <t>Running Balance (USD)</t>
  </si>
  <si>
    <t>Bank Statement Status</t>
  </si>
  <si>
    <t>Peter Ke. Ltd - USD Operating Account</t>
  </si>
  <si>
    <t>PAY-SM-2026-05-001</t>
  </si>
  <si>
    <t>Payment</t>
  </si>
  <si>
    <t>Payment to Sacho Mills - INV-SM-2026-0501</t>
  </si>
  <si>
    <t>TRAINING SAMPLE</t>
  </si>
  <si>
    <t>PAY-SM-2026-05-002</t>
  </si>
  <si>
    <t>Payment to Sacho Mills - INV-SM-2026-0502</t>
  </si>
  <si>
    <t>PAY-SM-2026-05-003</t>
  </si>
  <si>
    <t>Payment to Sacho Mills - INV-SM-2026-0503</t>
  </si>
  <si>
    <t>PAY-SM-2026-05-004</t>
  </si>
  <si>
    <t>Payment to Sacho Mills - INV-SM-2026-0504</t>
  </si>
  <si>
    <t>RCPT-CUST-001</t>
  </si>
  <si>
    <t>Receipt</t>
  </si>
  <si>
    <t>Customer receipt - cattle sales</t>
  </si>
  <si>
    <t>PAY-SM-2026-05-005</t>
  </si>
  <si>
    <t>Payment to Sacho Mills - INV-SM-2026-0505</t>
  </si>
  <si>
    <t>PAY-SM-2026-05-006</t>
  </si>
  <si>
    <t>Payment to Sacho Mills - INV-SM-2026-0506</t>
  </si>
  <si>
    <t>PAY-SM-2026-05-007</t>
  </si>
  <si>
    <t>Payment to Sacho Mills - INV-SM-2026-0507</t>
  </si>
  <si>
    <t>PAY-SM-2026-05-008</t>
  </si>
  <si>
    <t>Payment to Sacho Mills - INV-SM-2026-0508</t>
  </si>
  <si>
    <t>PAY-SM-2026-05-009</t>
  </si>
  <si>
    <t>Payment to Sacho Mills - INV-SM-2026-0509</t>
  </si>
  <si>
    <t>PAY-SM-2026-05-010</t>
  </si>
  <si>
    <t>Payment to Sacho Mills - INV-SM-2026-0510</t>
  </si>
  <si>
    <t>PAY-SM-2026-05-011</t>
  </si>
  <si>
    <t>Payment to Sacho Mills - INV-SM-2026-0511</t>
  </si>
  <si>
    <t>PAY-SM-2026-05-012</t>
  </si>
  <si>
    <t>Payment to Sacho Mills - INV-SM-2026-0512</t>
  </si>
  <si>
    <t>RCPT-CUST-002</t>
  </si>
  <si>
    <t>PAY-SM-2026-05-013</t>
  </si>
  <si>
    <t>Payment to Sacho Mills - INV-SM-2026-0513</t>
  </si>
  <si>
    <t>PAY-SM-2026-05-014</t>
  </si>
  <si>
    <t>Payment to Sacho Mills - INV-SM-2026-0514</t>
  </si>
  <si>
    <t>PAY-SM-2026-05-015</t>
  </si>
  <si>
    <t>Payment to Sacho Mills - INV-SM-2026-0515</t>
  </si>
  <si>
    <t>PAY-SM-2026-05-016</t>
  </si>
  <si>
    <t>Payment to Sacho Mills - INV-SM-2026-0516</t>
  </si>
  <si>
    <t>PAY-SM-2026-05-017</t>
  </si>
  <si>
    <t>Payment to Sacho Mills - INV-SM-2026-0517</t>
  </si>
  <si>
    <t>PAY-SM-2026-05-018</t>
  </si>
  <si>
    <t>Payment to Sacho Mills - INV-SM-2026-0518</t>
  </si>
  <si>
    <t>PAY-SM-2026-05-019</t>
  </si>
  <si>
    <t>Payment to Sacho Mills - INV-SM-2026-0519</t>
  </si>
  <si>
    <t>RCPT-CUST-003</t>
  </si>
  <si>
    <t>PAY-SM-2026-05-020</t>
  </si>
  <si>
    <t>Payment to Sacho Mills - INV-SM-2026-0520</t>
  </si>
  <si>
    <t>Tax / Reconciliation Item</t>
  </si>
  <si>
    <t>Amount / Value</t>
  </si>
  <si>
    <t>Standard VAT rate used in training scenario</t>
  </si>
  <si>
    <t>16%</t>
  </si>
  <si>
    <t>Invoice net purchases</t>
  </si>
  <si>
    <t>VAT on invoices</t>
  </si>
  <si>
    <t>Debit-note VAT adjustments</t>
  </si>
  <si>
    <t>Credit-note VAT adjustments</t>
  </si>
  <si>
    <t>Adjusted input VAT on purchases</t>
  </si>
  <si>
    <t>Gross invoiced purchases</t>
  </si>
  <si>
    <t>Adjusted accounts payable</t>
  </si>
  <si>
    <t>VAT return period</t>
  </si>
  <si>
    <t>May 2026</t>
  </si>
  <si>
    <t>Indicative VAT filing deadline</t>
  </si>
  <si>
    <t>20 June 2026</t>
  </si>
  <si>
    <t>Tax documentation status</t>
  </si>
  <si>
    <t>Synthetic training data; not eTIMS-transmitted</t>
  </si>
  <si>
    <t>PO Quantity (MT)</t>
  </si>
  <si>
    <t>GRN Quantity (MT)</t>
  </si>
  <si>
    <t>Three-Way Match</t>
  </si>
  <si>
    <t>Matched to GRN</t>
  </si>
  <si>
    <t>Workbook Control</t>
  </si>
  <si>
    <t>Details</t>
  </si>
  <si>
    <t>Purpose</t>
  </si>
  <si>
    <t>Accounting/audit practice workbook with internally consistent cross-references</t>
  </si>
  <si>
    <t>Period</t>
  </si>
  <si>
    <t>1–30 May 2026</t>
  </si>
  <si>
    <t>Entities</t>
  </si>
  <si>
    <t>Buyer: Peter Ke. Ltd | Supplier: Sacho Mills</t>
  </si>
  <si>
    <t>VAT assumption</t>
  </si>
  <si>
    <t>16% standard VAT used for this training scenario</t>
  </si>
  <si>
    <t>Tax note</t>
  </si>
  <si>
    <t>Actual VAT treatment depends on the precise classification of the goods and taxpayer status; verify before filing</t>
  </si>
  <si>
    <t>eTIMS note</t>
  </si>
  <si>
    <t>No actual KRA/eTIMS transmission or QR codes are created by this workbook</t>
  </si>
  <si>
    <t>Audit trail</t>
  </si>
  <si>
    <t>PO → Receipt Note → Tax Invoice → Debit/Credit Note → Payment → Bank Statement</t>
  </si>
  <si>
    <t>Synthetic-data warning</t>
  </si>
  <si>
    <t>All records are fictional training data and may not be represented as genuine business, bank, supplier, or tax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</si>
</sst>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" fontId="0" fillId="0" borderId="0" xfId="0" applyNumberFormat="1"/>
    <xf numFmtId="4" fontId="4" fillId="0" borderId="0" xfId="0" applyNumberFormat="1" applyFont="1"/>
    <xf numFmtId="41" fontId="3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workbookViewId="0">
      <pane ySplit="1" topLeftCell="A2" activePane="bottomLeft" state="frozen"/>
      <selection pane="bottomLeft" activeCell="D25" sqref="D25"/>
    </sheetView>
  </sheetViews>
  <sheetFormatPr defaultRowHeight="15" x14ac:dyDescent="0.25"/>
  <cols>
    <col min="1" max="1" width="16" customWidth="1"/>
    <col min="2" max="2" width="12" customWidth="1"/>
    <col min="3" max="3" width="15" customWidth="1"/>
    <col min="4" max="4" width="13" customWidth="1"/>
    <col min="5" max="5" width="18" customWidth="1"/>
    <col min="6" max="6" width="23" customWidth="1"/>
    <col min="7" max="7" width="21" customWidth="1"/>
    <col min="8" max="8" width="12" customWidth="1"/>
    <col min="9" max="9" width="20" customWidth="1"/>
    <col min="10" max="10" width="12" customWidth="1"/>
    <col min="11" max="11" width="17" customWidth="1"/>
    <col min="12" max="12" width="22" customWidth="1"/>
    <col min="13" max="13" width="1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s="2">
        <v>46143</v>
      </c>
      <c r="C2" t="s">
        <v>14</v>
      </c>
      <c r="D2" t="s">
        <v>15</v>
      </c>
      <c r="E2" t="s">
        <v>16</v>
      </c>
      <c r="F2">
        <v>40</v>
      </c>
      <c r="G2" s="3">
        <v>220</v>
      </c>
      <c r="H2" t="s">
        <v>17</v>
      </c>
      <c r="I2" s="3">
        <v>8800</v>
      </c>
      <c r="J2">
        <v>0.16</v>
      </c>
      <c r="K2" s="3">
        <v>1408</v>
      </c>
      <c r="L2" s="3">
        <v>10208</v>
      </c>
      <c r="M2" t="s">
        <v>18</v>
      </c>
    </row>
    <row r="3" spans="1:13" x14ac:dyDescent="0.25">
      <c r="A3" t="s">
        <v>19</v>
      </c>
      <c r="B3" s="2">
        <v>46144</v>
      </c>
      <c r="C3" t="s">
        <v>14</v>
      </c>
      <c r="D3" t="s">
        <v>15</v>
      </c>
      <c r="E3" t="s">
        <v>16</v>
      </c>
      <c r="F3">
        <v>55</v>
      </c>
      <c r="G3" s="3">
        <v>215</v>
      </c>
      <c r="H3" t="s">
        <v>17</v>
      </c>
      <c r="I3" s="3">
        <v>11825</v>
      </c>
      <c r="J3">
        <v>0.16</v>
      </c>
      <c r="K3" s="3">
        <v>1892</v>
      </c>
      <c r="L3" s="3">
        <v>13717</v>
      </c>
      <c r="M3" t="s">
        <v>18</v>
      </c>
    </row>
    <row r="4" spans="1:13" x14ac:dyDescent="0.25">
      <c r="A4" t="s">
        <v>20</v>
      </c>
      <c r="B4" s="2">
        <v>46146</v>
      </c>
      <c r="C4" t="s">
        <v>14</v>
      </c>
      <c r="D4" t="s">
        <v>15</v>
      </c>
      <c r="E4" t="s">
        <v>16</v>
      </c>
      <c r="F4">
        <v>70</v>
      </c>
      <c r="G4" s="3">
        <v>225</v>
      </c>
      <c r="H4" t="s">
        <v>17</v>
      </c>
      <c r="I4" s="3">
        <v>15750</v>
      </c>
      <c r="J4">
        <v>0.16</v>
      </c>
      <c r="K4" s="3">
        <v>2520</v>
      </c>
      <c r="L4" s="3">
        <v>18270</v>
      </c>
      <c r="M4" t="s">
        <v>18</v>
      </c>
    </row>
    <row r="5" spans="1:13" x14ac:dyDescent="0.25">
      <c r="A5" t="s">
        <v>21</v>
      </c>
      <c r="B5" s="2">
        <v>46147</v>
      </c>
      <c r="C5" t="s">
        <v>14</v>
      </c>
      <c r="D5" t="s">
        <v>15</v>
      </c>
      <c r="E5" t="s">
        <v>16</v>
      </c>
      <c r="F5">
        <v>85</v>
      </c>
      <c r="G5" s="3">
        <v>210</v>
      </c>
      <c r="H5" t="s">
        <v>17</v>
      </c>
      <c r="I5" s="3">
        <v>17850</v>
      </c>
      <c r="J5">
        <v>0.16</v>
      </c>
      <c r="K5" s="3">
        <v>2856</v>
      </c>
      <c r="L5" s="3">
        <v>20706</v>
      </c>
      <c r="M5" t="s">
        <v>18</v>
      </c>
    </row>
    <row r="6" spans="1:13" x14ac:dyDescent="0.25">
      <c r="A6" t="s">
        <v>22</v>
      </c>
      <c r="B6" s="2">
        <v>46149</v>
      </c>
      <c r="C6" t="s">
        <v>14</v>
      </c>
      <c r="D6" t="s">
        <v>15</v>
      </c>
      <c r="E6" t="s">
        <v>16</v>
      </c>
      <c r="F6">
        <v>95</v>
      </c>
      <c r="G6" s="3">
        <v>218</v>
      </c>
      <c r="H6" t="s">
        <v>17</v>
      </c>
      <c r="I6" s="3">
        <v>20710</v>
      </c>
      <c r="J6">
        <v>0.16</v>
      </c>
      <c r="K6" s="3">
        <v>3313.6</v>
      </c>
      <c r="L6" s="3">
        <v>24023.599999999999</v>
      </c>
      <c r="M6" t="s">
        <v>18</v>
      </c>
    </row>
    <row r="7" spans="1:13" x14ac:dyDescent="0.25">
      <c r="A7" t="s">
        <v>23</v>
      </c>
      <c r="B7" s="2">
        <v>46150</v>
      </c>
      <c r="C7" t="s">
        <v>14</v>
      </c>
      <c r="D7" t="s">
        <v>15</v>
      </c>
      <c r="E7" t="s">
        <v>16</v>
      </c>
      <c r="F7">
        <v>110</v>
      </c>
      <c r="G7" s="3">
        <v>212</v>
      </c>
      <c r="H7" t="s">
        <v>17</v>
      </c>
      <c r="I7" s="3">
        <v>23320</v>
      </c>
      <c r="J7">
        <v>0.16</v>
      </c>
      <c r="K7" s="3">
        <v>3731.2</v>
      </c>
      <c r="L7" s="3">
        <v>27051.200000000001</v>
      </c>
      <c r="M7" t="s">
        <v>18</v>
      </c>
    </row>
    <row r="8" spans="1:13" x14ac:dyDescent="0.25">
      <c r="A8" t="s">
        <v>24</v>
      </c>
      <c r="B8" s="2">
        <v>46152</v>
      </c>
      <c r="C8" t="s">
        <v>14</v>
      </c>
      <c r="D8" t="s">
        <v>15</v>
      </c>
      <c r="E8" t="s">
        <v>16</v>
      </c>
      <c r="F8">
        <v>125</v>
      </c>
      <c r="G8" s="3">
        <v>220</v>
      </c>
      <c r="H8" t="s">
        <v>17</v>
      </c>
      <c r="I8" s="3">
        <v>27500</v>
      </c>
      <c r="J8">
        <v>0.16</v>
      </c>
      <c r="K8" s="3">
        <v>4400</v>
      </c>
      <c r="L8" s="3">
        <v>31900</v>
      </c>
      <c r="M8" t="s">
        <v>18</v>
      </c>
    </row>
    <row r="9" spans="1:13" x14ac:dyDescent="0.25">
      <c r="A9" t="s">
        <v>25</v>
      </c>
      <c r="B9" s="2">
        <v>46153</v>
      </c>
      <c r="C9" t="s">
        <v>14</v>
      </c>
      <c r="D9" t="s">
        <v>15</v>
      </c>
      <c r="E9" t="s">
        <v>16</v>
      </c>
      <c r="F9">
        <v>60</v>
      </c>
      <c r="G9" s="3">
        <v>230</v>
      </c>
      <c r="H9" t="s">
        <v>17</v>
      </c>
      <c r="I9" s="3">
        <v>13800</v>
      </c>
      <c r="J9">
        <v>0.16</v>
      </c>
      <c r="K9" s="3">
        <v>2208</v>
      </c>
      <c r="L9" s="3">
        <v>16008</v>
      </c>
      <c r="M9" t="s">
        <v>18</v>
      </c>
    </row>
    <row r="10" spans="1:13" x14ac:dyDescent="0.25">
      <c r="A10" t="s">
        <v>26</v>
      </c>
      <c r="B10" s="2">
        <v>46155</v>
      </c>
      <c r="C10" t="s">
        <v>14</v>
      </c>
      <c r="D10" t="s">
        <v>15</v>
      </c>
      <c r="E10" t="s">
        <v>16</v>
      </c>
      <c r="F10">
        <v>75</v>
      </c>
      <c r="G10" s="3">
        <v>216</v>
      </c>
      <c r="H10" t="s">
        <v>17</v>
      </c>
      <c r="I10" s="3">
        <v>16200</v>
      </c>
      <c r="J10">
        <v>0.16</v>
      </c>
      <c r="K10" s="3">
        <v>2592</v>
      </c>
      <c r="L10" s="3">
        <v>18792</v>
      </c>
      <c r="M10" t="s">
        <v>18</v>
      </c>
    </row>
    <row r="11" spans="1:13" x14ac:dyDescent="0.25">
      <c r="A11" t="s">
        <v>27</v>
      </c>
      <c r="B11" s="2">
        <v>46156</v>
      </c>
      <c r="C11" t="s">
        <v>14</v>
      </c>
      <c r="D11" t="s">
        <v>15</v>
      </c>
      <c r="E11" t="s">
        <v>16</v>
      </c>
      <c r="F11">
        <v>90</v>
      </c>
      <c r="G11" s="3">
        <v>214</v>
      </c>
      <c r="H11" t="s">
        <v>17</v>
      </c>
      <c r="I11" s="3">
        <v>19260</v>
      </c>
      <c r="J11">
        <v>0.16</v>
      </c>
      <c r="K11" s="3">
        <v>3081.6</v>
      </c>
      <c r="L11" s="3">
        <v>22341.599999999999</v>
      </c>
      <c r="M11" t="s">
        <v>18</v>
      </c>
    </row>
    <row r="12" spans="1:13" x14ac:dyDescent="0.25">
      <c r="A12" t="s">
        <v>28</v>
      </c>
      <c r="B12" s="2">
        <v>46158</v>
      </c>
      <c r="C12" t="s">
        <v>14</v>
      </c>
      <c r="D12" t="s">
        <v>15</v>
      </c>
      <c r="E12" t="s">
        <v>16</v>
      </c>
      <c r="F12">
        <v>105</v>
      </c>
      <c r="G12" s="3">
        <v>222</v>
      </c>
      <c r="H12" t="s">
        <v>17</v>
      </c>
      <c r="I12" s="3">
        <v>23310</v>
      </c>
      <c r="J12">
        <v>0.16</v>
      </c>
      <c r="K12" s="3">
        <v>3729.6</v>
      </c>
      <c r="L12" s="3">
        <v>27039.599999999999</v>
      </c>
      <c r="M12" t="s">
        <v>18</v>
      </c>
    </row>
    <row r="13" spans="1:13" x14ac:dyDescent="0.25">
      <c r="A13" t="s">
        <v>29</v>
      </c>
      <c r="B13" s="2">
        <v>46159</v>
      </c>
      <c r="C13" t="s">
        <v>14</v>
      </c>
      <c r="D13" t="s">
        <v>15</v>
      </c>
      <c r="E13" t="s">
        <v>16</v>
      </c>
      <c r="F13">
        <v>120</v>
      </c>
      <c r="G13" s="3">
        <v>219</v>
      </c>
      <c r="H13" t="s">
        <v>17</v>
      </c>
      <c r="I13" s="3">
        <v>26280</v>
      </c>
      <c r="J13">
        <v>0.16</v>
      </c>
      <c r="K13" s="3">
        <v>4204.8</v>
      </c>
      <c r="L13" s="3">
        <v>30484.799999999999</v>
      </c>
      <c r="M13" t="s">
        <v>18</v>
      </c>
    </row>
    <row r="14" spans="1:13" x14ac:dyDescent="0.25">
      <c r="A14" t="s">
        <v>30</v>
      </c>
      <c r="B14" s="2">
        <v>46161</v>
      </c>
      <c r="C14" t="s">
        <v>14</v>
      </c>
      <c r="D14" t="s">
        <v>15</v>
      </c>
      <c r="E14" t="s">
        <v>16</v>
      </c>
      <c r="F14">
        <v>65</v>
      </c>
      <c r="G14" s="3">
        <v>228</v>
      </c>
      <c r="H14" t="s">
        <v>17</v>
      </c>
      <c r="I14" s="3">
        <v>14820</v>
      </c>
      <c r="J14">
        <v>0.16</v>
      </c>
      <c r="K14" s="3">
        <v>2371.1999999999998</v>
      </c>
      <c r="L14" s="3">
        <v>17191.2</v>
      </c>
      <c r="M14" t="s">
        <v>18</v>
      </c>
    </row>
    <row r="15" spans="1:13" x14ac:dyDescent="0.25">
      <c r="A15" t="s">
        <v>31</v>
      </c>
      <c r="B15" s="2">
        <v>46162</v>
      </c>
      <c r="C15" t="s">
        <v>14</v>
      </c>
      <c r="D15" t="s">
        <v>15</v>
      </c>
      <c r="E15" t="s">
        <v>16</v>
      </c>
      <c r="F15">
        <v>80</v>
      </c>
      <c r="G15" s="3">
        <v>217</v>
      </c>
      <c r="H15" t="s">
        <v>17</v>
      </c>
      <c r="I15" s="3">
        <v>17360</v>
      </c>
      <c r="J15">
        <v>0.16</v>
      </c>
      <c r="K15" s="3">
        <v>2777.6</v>
      </c>
      <c r="L15" s="3">
        <v>20137.599999999999</v>
      </c>
      <c r="M15" t="s">
        <v>18</v>
      </c>
    </row>
    <row r="16" spans="1:13" x14ac:dyDescent="0.25">
      <c r="A16" t="s">
        <v>32</v>
      </c>
      <c r="B16" s="2">
        <v>46164</v>
      </c>
      <c r="C16" t="s">
        <v>14</v>
      </c>
      <c r="D16" t="s">
        <v>15</v>
      </c>
      <c r="E16" t="s">
        <v>16</v>
      </c>
      <c r="F16">
        <v>100</v>
      </c>
      <c r="G16" s="3">
        <v>221</v>
      </c>
      <c r="H16" t="s">
        <v>17</v>
      </c>
      <c r="I16" s="3">
        <v>22100</v>
      </c>
      <c r="J16">
        <v>0.16</v>
      </c>
      <c r="K16" s="3">
        <v>3536</v>
      </c>
      <c r="L16" s="3">
        <v>25636</v>
      </c>
      <c r="M16" t="s">
        <v>18</v>
      </c>
    </row>
    <row r="17" spans="1:13" x14ac:dyDescent="0.25">
      <c r="A17" t="s">
        <v>33</v>
      </c>
      <c r="B17" s="2">
        <v>46165</v>
      </c>
      <c r="C17" t="s">
        <v>14</v>
      </c>
      <c r="D17" t="s">
        <v>15</v>
      </c>
      <c r="E17" t="s">
        <v>16</v>
      </c>
      <c r="F17">
        <v>115</v>
      </c>
      <c r="G17" s="3">
        <v>213</v>
      </c>
      <c r="H17" t="s">
        <v>17</v>
      </c>
      <c r="I17" s="3">
        <v>24495</v>
      </c>
      <c r="J17">
        <v>0.16</v>
      </c>
      <c r="K17" s="3">
        <v>3919.2</v>
      </c>
      <c r="L17" s="3">
        <v>28414.2</v>
      </c>
      <c r="M17" t="s">
        <v>18</v>
      </c>
    </row>
    <row r="18" spans="1:13" x14ac:dyDescent="0.25">
      <c r="A18" t="s">
        <v>34</v>
      </c>
      <c r="B18" s="2">
        <v>46167</v>
      </c>
      <c r="C18" t="s">
        <v>14</v>
      </c>
      <c r="D18" t="s">
        <v>15</v>
      </c>
      <c r="E18" t="s">
        <v>16</v>
      </c>
      <c r="F18">
        <v>130</v>
      </c>
      <c r="G18" s="3">
        <v>218</v>
      </c>
      <c r="H18" t="s">
        <v>17</v>
      </c>
      <c r="I18" s="3">
        <v>28340</v>
      </c>
      <c r="J18">
        <v>0.16</v>
      </c>
      <c r="K18" s="3">
        <v>4534.3999999999996</v>
      </c>
      <c r="L18" s="3">
        <v>32874.400000000001</v>
      </c>
      <c r="M18" t="s">
        <v>18</v>
      </c>
    </row>
    <row r="19" spans="1:13" x14ac:dyDescent="0.25">
      <c r="A19" t="s">
        <v>35</v>
      </c>
      <c r="B19" s="2">
        <v>46168</v>
      </c>
      <c r="C19" t="s">
        <v>14</v>
      </c>
      <c r="D19" t="s">
        <v>15</v>
      </c>
      <c r="E19" t="s">
        <v>16</v>
      </c>
      <c r="F19">
        <v>50</v>
      </c>
      <c r="G19" s="3">
        <v>232</v>
      </c>
      <c r="H19" t="s">
        <v>17</v>
      </c>
      <c r="I19" s="3">
        <v>11600</v>
      </c>
      <c r="J19">
        <v>0.16</v>
      </c>
      <c r="K19" s="3">
        <v>1856</v>
      </c>
      <c r="L19" s="3">
        <v>13456</v>
      </c>
      <c r="M19" t="s">
        <v>18</v>
      </c>
    </row>
    <row r="20" spans="1:13" x14ac:dyDescent="0.25">
      <c r="A20" t="s">
        <v>36</v>
      </c>
      <c r="B20" s="2">
        <v>46170</v>
      </c>
      <c r="C20" t="s">
        <v>14</v>
      </c>
      <c r="D20" t="s">
        <v>15</v>
      </c>
      <c r="E20" t="s">
        <v>16</v>
      </c>
      <c r="F20">
        <v>72</v>
      </c>
      <c r="G20" s="3">
        <v>224</v>
      </c>
      <c r="H20" t="s">
        <v>17</v>
      </c>
      <c r="I20" s="3">
        <v>16128</v>
      </c>
      <c r="J20">
        <v>0.16</v>
      </c>
      <c r="K20" s="3">
        <v>2580.48</v>
      </c>
      <c r="L20" s="3">
        <v>18708.48</v>
      </c>
      <c r="M20" t="s">
        <v>18</v>
      </c>
    </row>
    <row r="21" spans="1:13" x14ac:dyDescent="0.25">
      <c r="A21" t="s">
        <v>37</v>
      </c>
      <c r="B21" s="2">
        <v>46172</v>
      </c>
      <c r="C21" t="s">
        <v>14</v>
      </c>
      <c r="D21" t="s">
        <v>15</v>
      </c>
      <c r="E21" t="s">
        <v>16</v>
      </c>
      <c r="F21">
        <v>88</v>
      </c>
      <c r="G21" s="3">
        <v>220</v>
      </c>
      <c r="H21" t="s">
        <v>17</v>
      </c>
      <c r="I21" s="3">
        <v>19360</v>
      </c>
      <c r="J21">
        <v>0.16</v>
      </c>
      <c r="K21" s="3">
        <v>3097.6</v>
      </c>
      <c r="L21" s="3">
        <v>22457.599999999999</v>
      </c>
      <c r="M21" t="s">
        <v>18</v>
      </c>
    </row>
    <row r="22" spans="1:13" x14ac:dyDescent="0.25">
      <c r="I22" s="3">
        <f>SUM(I2:I21)</f>
        <v>378808</v>
      </c>
      <c r="K22" s="3">
        <f>SUM(K2:K21)</f>
        <v>60609.279999999992</v>
      </c>
      <c r="L22" s="3">
        <f>SUM(L2:L21)</f>
        <v>439417.27999999997</v>
      </c>
    </row>
  </sheetData>
  <autoFilter ref="A1:M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4" customWidth="1"/>
    <col min="3" max="3" width="16" customWidth="1"/>
    <col min="4" max="4" width="13" customWidth="1"/>
    <col min="5" max="5" width="19" customWidth="1"/>
    <col min="6" max="6" width="18" customWidth="1"/>
    <col min="7" max="7" width="23" customWidth="1"/>
    <col min="8" max="9" width="24" customWidth="1"/>
    <col min="10" max="10" width="22" customWidth="1"/>
    <col min="11" max="11" width="30" customWidth="1"/>
    <col min="12" max="12" width="24" customWidth="1"/>
  </cols>
  <sheetData>
    <row r="1" spans="1:12" x14ac:dyDescent="0.25">
      <c r="A1" s="1" t="s">
        <v>38</v>
      </c>
      <c r="B1" s="1" t="s">
        <v>39</v>
      </c>
      <c r="C1" s="1" t="s">
        <v>0</v>
      </c>
      <c r="D1" s="1" t="s">
        <v>3</v>
      </c>
      <c r="E1" s="1" t="s">
        <v>40</v>
      </c>
      <c r="F1" s="1" t="s">
        <v>4</v>
      </c>
      <c r="G1" s="1" t="s">
        <v>5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12</v>
      </c>
    </row>
    <row r="2" spans="1:12" x14ac:dyDescent="0.25">
      <c r="A2" t="s">
        <v>45</v>
      </c>
      <c r="B2" s="2">
        <v>46143</v>
      </c>
      <c r="C2" t="s">
        <v>13</v>
      </c>
      <c r="D2" t="s">
        <v>15</v>
      </c>
      <c r="E2" t="s">
        <v>46</v>
      </c>
      <c r="F2" t="s">
        <v>16</v>
      </c>
      <c r="G2">
        <v>40</v>
      </c>
      <c r="H2">
        <v>40</v>
      </c>
      <c r="I2">
        <v>0</v>
      </c>
      <c r="J2" t="s">
        <v>47</v>
      </c>
      <c r="K2" t="s">
        <v>48</v>
      </c>
      <c r="L2" t="s">
        <v>49</v>
      </c>
    </row>
    <row r="3" spans="1:12" x14ac:dyDescent="0.25">
      <c r="A3" t="s">
        <v>50</v>
      </c>
      <c r="B3" s="2">
        <v>46144</v>
      </c>
      <c r="C3" t="s">
        <v>19</v>
      </c>
      <c r="D3" t="s">
        <v>15</v>
      </c>
      <c r="E3" t="s">
        <v>46</v>
      </c>
      <c r="F3" t="s">
        <v>16</v>
      </c>
      <c r="G3">
        <v>55</v>
      </c>
      <c r="H3">
        <v>55</v>
      </c>
      <c r="I3">
        <v>0</v>
      </c>
      <c r="J3" t="s">
        <v>47</v>
      </c>
      <c r="K3" t="s">
        <v>48</v>
      </c>
      <c r="L3" t="s">
        <v>49</v>
      </c>
    </row>
    <row r="4" spans="1:12" x14ac:dyDescent="0.25">
      <c r="A4" t="s">
        <v>51</v>
      </c>
      <c r="B4" s="2">
        <v>46146</v>
      </c>
      <c r="C4" t="s">
        <v>20</v>
      </c>
      <c r="D4" t="s">
        <v>15</v>
      </c>
      <c r="E4" t="s">
        <v>46</v>
      </c>
      <c r="F4" t="s">
        <v>16</v>
      </c>
      <c r="G4">
        <v>70</v>
      </c>
      <c r="H4">
        <v>65</v>
      </c>
      <c r="I4">
        <v>-5</v>
      </c>
      <c r="J4" t="s">
        <v>47</v>
      </c>
      <c r="K4" t="s">
        <v>48</v>
      </c>
      <c r="L4" t="s">
        <v>52</v>
      </c>
    </row>
    <row r="5" spans="1:12" x14ac:dyDescent="0.25">
      <c r="A5" t="s">
        <v>53</v>
      </c>
      <c r="B5" s="2">
        <v>46147</v>
      </c>
      <c r="C5" t="s">
        <v>21</v>
      </c>
      <c r="D5" t="s">
        <v>15</v>
      </c>
      <c r="E5" t="s">
        <v>46</v>
      </c>
      <c r="F5" t="s">
        <v>16</v>
      </c>
      <c r="G5">
        <v>85</v>
      </c>
      <c r="H5">
        <v>85</v>
      </c>
      <c r="I5">
        <v>0</v>
      </c>
      <c r="J5" t="s">
        <v>47</v>
      </c>
      <c r="K5" t="s">
        <v>48</v>
      </c>
      <c r="L5" t="s">
        <v>49</v>
      </c>
    </row>
    <row r="6" spans="1:12" x14ac:dyDescent="0.25">
      <c r="A6" t="s">
        <v>54</v>
      </c>
      <c r="B6" s="2">
        <v>46149</v>
      </c>
      <c r="C6" t="s">
        <v>22</v>
      </c>
      <c r="D6" t="s">
        <v>15</v>
      </c>
      <c r="E6" t="s">
        <v>46</v>
      </c>
      <c r="F6" t="s">
        <v>16</v>
      </c>
      <c r="G6">
        <v>95</v>
      </c>
      <c r="H6">
        <v>95</v>
      </c>
      <c r="I6">
        <v>0</v>
      </c>
      <c r="J6" t="s">
        <v>47</v>
      </c>
      <c r="K6" t="s">
        <v>48</v>
      </c>
      <c r="L6" t="s">
        <v>49</v>
      </c>
    </row>
    <row r="7" spans="1:12" x14ac:dyDescent="0.25">
      <c r="A7" t="s">
        <v>55</v>
      </c>
      <c r="B7" s="2">
        <v>46150</v>
      </c>
      <c r="C7" t="s">
        <v>23</v>
      </c>
      <c r="D7" t="s">
        <v>15</v>
      </c>
      <c r="E7" t="s">
        <v>46</v>
      </c>
      <c r="F7" t="s">
        <v>16</v>
      </c>
      <c r="G7">
        <v>110</v>
      </c>
      <c r="H7">
        <v>110</v>
      </c>
      <c r="I7">
        <v>0</v>
      </c>
      <c r="J7" t="s">
        <v>47</v>
      </c>
      <c r="K7" t="s">
        <v>48</v>
      </c>
      <c r="L7" t="s">
        <v>49</v>
      </c>
    </row>
    <row r="8" spans="1:12" x14ac:dyDescent="0.25">
      <c r="A8" t="s">
        <v>56</v>
      </c>
      <c r="B8" s="2">
        <v>46152</v>
      </c>
      <c r="C8" t="s">
        <v>24</v>
      </c>
      <c r="D8" t="s">
        <v>15</v>
      </c>
      <c r="E8" t="s">
        <v>46</v>
      </c>
      <c r="F8" t="s">
        <v>16</v>
      </c>
      <c r="G8">
        <v>125</v>
      </c>
      <c r="H8">
        <v>125</v>
      </c>
      <c r="I8">
        <v>0</v>
      </c>
      <c r="J8" t="s">
        <v>47</v>
      </c>
      <c r="K8" t="s">
        <v>48</v>
      </c>
      <c r="L8" t="s">
        <v>49</v>
      </c>
    </row>
    <row r="9" spans="1:12" x14ac:dyDescent="0.25">
      <c r="A9" t="s">
        <v>57</v>
      </c>
      <c r="B9" s="2">
        <v>46153</v>
      </c>
      <c r="C9" t="s">
        <v>25</v>
      </c>
      <c r="D9" t="s">
        <v>15</v>
      </c>
      <c r="E9" t="s">
        <v>46</v>
      </c>
      <c r="F9" t="s">
        <v>16</v>
      </c>
      <c r="G9">
        <v>60</v>
      </c>
      <c r="H9">
        <v>52</v>
      </c>
      <c r="I9">
        <v>-8</v>
      </c>
      <c r="J9" t="s">
        <v>58</v>
      </c>
      <c r="K9" t="s">
        <v>48</v>
      </c>
      <c r="L9" t="s">
        <v>52</v>
      </c>
    </row>
    <row r="10" spans="1:12" x14ac:dyDescent="0.25">
      <c r="A10" t="s">
        <v>59</v>
      </c>
      <c r="B10" s="2">
        <v>46155</v>
      </c>
      <c r="C10" t="s">
        <v>26</v>
      </c>
      <c r="D10" t="s">
        <v>15</v>
      </c>
      <c r="E10" t="s">
        <v>46</v>
      </c>
      <c r="F10" t="s">
        <v>16</v>
      </c>
      <c r="G10">
        <v>75</v>
      </c>
      <c r="H10">
        <v>75</v>
      </c>
      <c r="I10">
        <v>0</v>
      </c>
      <c r="J10" t="s">
        <v>47</v>
      </c>
      <c r="K10" t="s">
        <v>48</v>
      </c>
      <c r="L10" t="s">
        <v>49</v>
      </c>
    </row>
    <row r="11" spans="1:12" x14ac:dyDescent="0.25">
      <c r="A11" t="s">
        <v>60</v>
      </c>
      <c r="B11" s="2">
        <v>46156</v>
      </c>
      <c r="C11" t="s">
        <v>27</v>
      </c>
      <c r="D11" t="s">
        <v>15</v>
      </c>
      <c r="E11" t="s">
        <v>46</v>
      </c>
      <c r="F11" t="s">
        <v>16</v>
      </c>
      <c r="G11">
        <v>90</v>
      </c>
      <c r="H11">
        <v>90</v>
      </c>
      <c r="I11">
        <v>0</v>
      </c>
      <c r="J11" t="s">
        <v>47</v>
      </c>
      <c r="K11" t="s">
        <v>48</v>
      </c>
      <c r="L11" t="s">
        <v>49</v>
      </c>
    </row>
    <row r="12" spans="1:12" x14ac:dyDescent="0.25">
      <c r="A12" t="s">
        <v>61</v>
      </c>
      <c r="B12" s="2">
        <v>46158</v>
      </c>
      <c r="C12" t="s">
        <v>28</v>
      </c>
      <c r="D12" t="s">
        <v>15</v>
      </c>
      <c r="E12" t="s">
        <v>46</v>
      </c>
      <c r="F12" t="s">
        <v>16</v>
      </c>
      <c r="G12">
        <v>105</v>
      </c>
      <c r="H12">
        <v>105</v>
      </c>
      <c r="I12">
        <v>0</v>
      </c>
      <c r="J12" t="s">
        <v>47</v>
      </c>
      <c r="K12" t="s">
        <v>48</v>
      </c>
      <c r="L12" t="s">
        <v>49</v>
      </c>
    </row>
    <row r="13" spans="1:12" x14ac:dyDescent="0.25">
      <c r="A13" t="s">
        <v>62</v>
      </c>
      <c r="B13" s="2">
        <v>46159</v>
      </c>
      <c r="C13" t="s">
        <v>29</v>
      </c>
      <c r="D13" t="s">
        <v>15</v>
      </c>
      <c r="E13" t="s">
        <v>46</v>
      </c>
      <c r="F13" t="s">
        <v>16</v>
      </c>
      <c r="G13">
        <v>120</v>
      </c>
      <c r="H13">
        <v>120</v>
      </c>
      <c r="I13">
        <v>0</v>
      </c>
      <c r="J13" t="s">
        <v>47</v>
      </c>
      <c r="K13" t="s">
        <v>48</v>
      </c>
      <c r="L13" t="s">
        <v>49</v>
      </c>
    </row>
    <row r="14" spans="1:12" x14ac:dyDescent="0.25">
      <c r="A14" t="s">
        <v>63</v>
      </c>
      <c r="B14" s="2">
        <v>46161</v>
      </c>
      <c r="C14" t="s">
        <v>30</v>
      </c>
      <c r="D14" t="s">
        <v>15</v>
      </c>
      <c r="E14" t="s">
        <v>46</v>
      </c>
      <c r="F14" t="s">
        <v>16</v>
      </c>
      <c r="G14">
        <v>65</v>
      </c>
      <c r="H14">
        <v>55</v>
      </c>
      <c r="I14">
        <v>-10</v>
      </c>
      <c r="J14" t="s">
        <v>58</v>
      </c>
      <c r="K14" t="s">
        <v>48</v>
      </c>
      <c r="L14" t="s">
        <v>52</v>
      </c>
    </row>
    <row r="15" spans="1:12" x14ac:dyDescent="0.25">
      <c r="A15" t="s">
        <v>64</v>
      </c>
      <c r="B15" s="2">
        <v>46162</v>
      </c>
      <c r="C15" t="s">
        <v>31</v>
      </c>
      <c r="D15" t="s">
        <v>15</v>
      </c>
      <c r="E15" t="s">
        <v>46</v>
      </c>
      <c r="F15" t="s">
        <v>16</v>
      </c>
      <c r="G15">
        <v>80</v>
      </c>
      <c r="H15">
        <v>80</v>
      </c>
      <c r="I15">
        <v>0</v>
      </c>
      <c r="J15" t="s">
        <v>47</v>
      </c>
      <c r="K15" t="s">
        <v>48</v>
      </c>
      <c r="L15" t="s">
        <v>49</v>
      </c>
    </row>
    <row r="16" spans="1:12" x14ac:dyDescent="0.25">
      <c r="A16" t="s">
        <v>65</v>
      </c>
      <c r="B16" s="2">
        <v>46164</v>
      </c>
      <c r="C16" t="s">
        <v>32</v>
      </c>
      <c r="D16" t="s">
        <v>15</v>
      </c>
      <c r="E16" t="s">
        <v>46</v>
      </c>
      <c r="F16" t="s">
        <v>16</v>
      </c>
      <c r="G16">
        <v>100</v>
      </c>
      <c r="H16">
        <v>100</v>
      </c>
      <c r="I16">
        <v>0</v>
      </c>
      <c r="J16" t="s">
        <v>47</v>
      </c>
      <c r="K16" t="s">
        <v>48</v>
      </c>
      <c r="L16" t="s">
        <v>49</v>
      </c>
    </row>
    <row r="17" spans="1:12" x14ac:dyDescent="0.25">
      <c r="A17" t="s">
        <v>66</v>
      </c>
      <c r="B17" s="2">
        <v>46165</v>
      </c>
      <c r="C17" t="s">
        <v>33</v>
      </c>
      <c r="D17" t="s">
        <v>15</v>
      </c>
      <c r="E17" t="s">
        <v>46</v>
      </c>
      <c r="F17" t="s">
        <v>16</v>
      </c>
      <c r="G17">
        <v>115</v>
      </c>
      <c r="H17">
        <v>115</v>
      </c>
      <c r="I17">
        <v>0</v>
      </c>
      <c r="J17" t="s">
        <v>47</v>
      </c>
      <c r="K17" t="s">
        <v>48</v>
      </c>
      <c r="L17" t="s">
        <v>49</v>
      </c>
    </row>
    <row r="18" spans="1:12" x14ac:dyDescent="0.25">
      <c r="A18" t="s">
        <v>67</v>
      </c>
      <c r="B18" s="2">
        <v>46167</v>
      </c>
      <c r="C18" t="s">
        <v>34</v>
      </c>
      <c r="D18" t="s">
        <v>15</v>
      </c>
      <c r="E18" t="s">
        <v>46</v>
      </c>
      <c r="F18" t="s">
        <v>16</v>
      </c>
      <c r="G18">
        <v>130</v>
      </c>
      <c r="H18">
        <v>130</v>
      </c>
      <c r="I18">
        <v>0</v>
      </c>
      <c r="J18" t="s">
        <v>47</v>
      </c>
      <c r="K18" t="s">
        <v>48</v>
      </c>
      <c r="L18" t="s">
        <v>49</v>
      </c>
    </row>
    <row r="19" spans="1:12" x14ac:dyDescent="0.25">
      <c r="A19" t="s">
        <v>68</v>
      </c>
      <c r="B19" s="2">
        <v>46168</v>
      </c>
      <c r="C19" t="s">
        <v>35</v>
      </c>
      <c r="D19" t="s">
        <v>15</v>
      </c>
      <c r="E19" t="s">
        <v>46</v>
      </c>
      <c r="F19" t="s">
        <v>16</v>
      </c>
      <c r="G19">
        <v>50</v>
      </c>
      <c r="H19">
        <v>50</v>
      </c>
      <c r="I19">
        <v>0</v>
      </c>
      <c r="J19" t="s">
        <v>47</v>
      </c>
      <c r="K19" t="s">
        <v>48</v>
      </c>
      <c r="L19" t="s">
        <v>49</v>
      </c>
    </row>
    <row r="20" spans="1:12" x14ac:dyDescent="0.25">
      <c r="A20" t="s">
        <v>69</v>
      </c>
      <c r="B20" s="2">
        <v>46170</v>
      </c>
      <c r="C20" t="s">
        <v>36</v>
      </c>
      <c r="D20" t="s">
        <v>15</v>
      </c>
      <c r="E20" t="s">
        <v>46</v>
      </c>
      <c r="F20" t="s">
        <v>16</v>
      </c>
      <c r="G20">
        <v>72</v>
      </c>
      <c r="H20">
        <v>72</v>
      </c>
      <c r="I20">
        <v>0</v>
      </c>
      <c r="J20" t="s">
        <v>47</v>
      </c>
      <c r="K20" t="s">
        <v>48</v>
      </c>
      <c r="L20" t="s">
        <v>49</v>
      </c>
    </row>
    <row r="21" spans="1:12" x14ac:dyDescent="0.25">
      <c r="A21" t="s">
        <v>70</v>
      </c>
      <c r="B21" s="2">
        <v>46172</v>
      </c>
      <c r="C21" t="s">
        <v>37</v>
      </c>
      <c r="D21" t="s">
        <v>15</v>
      </c>
      <c r="E21" t="s">
        <v>46</v>
      </c>
      <c r="F21" t="s">
        <v>16</v>
      </c>
      <c r="G21">
        <v>88</v>
      </c>
      <c r="H21">
        <v>88</v>
      </c>
      <c r="I21">
        <v>0</v>
      </c>
      <c r="J21" t="s">
        <v>47</v>
      </c>
      <c r="K21" t="s">
        <v>48</v>
      </c>
      <c r="L21" t="s">
        <v>49</v>
      </c>
    </row>
  </sheetData>
  <autoFilter ref="A1:L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2"/>
  <sheetViews>
    <sheetView workbookViewId="0">
      <pane ySplit="1" topLeftCell="A2" activePane="bottomLeft" state="frozen"/>
      <selection pane="bottomLeft" activeCell="M23" sqref="M23"/>
    </sheetView>
  </sheetViews>
  <sheetFormatPr defaultRowHeight="15" x14ac:dyDescent="0.25"/>
  <cols>
    <col min="1" max="1" width="18" customWidth="1"/>
    <col min="2" max="2" width="14" customWidth="1"/>
    <col min="3" max="3" width="13" customWidth="1"/>
    <col min="4" max="4" width="15" customWidth="1"/>
    <col min="5" max="5" width="14" customWidth="1"/>
    <col min="6" max="6" width="13" customWidth="1"/>
    <col min="7" max="7" width="16" customWidth="1"/>
    <col min="8" max="9" width="18" customWidth="1"/>
    <col min="10" max="10" width="22" customWidth="1"/>
    <col min="11" max="11" width="21" customWidth="1"/>
    <col min="12" max="12" width="12" customWidth="1"/>
    <col min="13" max="13" width="18" customWidth="1"/>
    <col min="14" max="14" width="12" customWidth="1"/>
    <col min="15" max="15" width="18" customWidth="1"/>
    <col min="16" max="16" width="20" customWidth="1"/>
    <col min="17" max="17" width="32" customWidth="1"/>
    <col min="18" max="18" width="20" customWidth="1"/>
  </cols>
  <sheetData>
    <row r="1" spans="1:18" x14ac:dyDescent="0.25">
      <c r="A1" s="1" t="s">
        <v>71</v>
      </c>
      <c r="B1" s="1" t="s">
        <v>72</v>
      </c>
      <c r="C1" s="1" t="s">
        <v>3</v>
      </c>
      <c r="D1" s="1" t="s">
        <v>2</v>
      </c>
      <c r="E1" s="1" t="s">
        <v>73</v>
      </c>
      <c r="F1" s="1" t="s">
        <v>74</v>
      </c>
      <c r="G1" s="1" t="s">
        <v>0</v>
      </c>
      <c r="H1" s="1" t="s">
        <v>38</v>
      </c>
      <c r="I1" s="1" t="s">
        <v>4</v>
      </c>
      <c r="J1" s="1" t="s">
        <v>75</v>
      </c>
      <c r="K1" s="1" t="s">
        <v>6</v>
      </c>
      <c r="L1" s="1" t="s">
        <v>7</v>
      </c>
      <c r="M1" s="1" t="s">
        <v>76</v>
      </c>
      <c r="N1" s="1" t="s">
        <v>9</v>
      </c>
      <c r="O1" s="1" t="s">
        <v>77</v>
      </c>
      <c r="P1" s="1" t="s">
        <v>78</v>
      </c>
      <c r="Q1" s="1" t="s">
        <v>79</v>
      </c>
      <c r="R1" s="1" t="s">
        <v>80</v>
      </c>
    </row>
    <row r="2" spans="1:18" x14ac:dyDescent="0.25">
      <c r="A2" t="s">
        <v>81</v>
      </c>
      <c r="B2" s="2">
        <v>46143</v>
      </c>
      <c r="C2" t="s">
        <v>15</v>
      </c>
      <c r="D2" t="s">
        <v>14</v>
      </c>
      <c r="E2" t="s">
        <v>82</v>
      </c>
      <c r="F2" t="s">
        <v>83</v>
      </c>
      <c r="G2" t="s">
        <v>13</v>
      </c>
      <c r="H2" t="s">
        <v>45</v>
      </c>
      <c r="I2" t="s">
        <v>16</v>
      </c>
      <c r="J2">
        <v>40</v>
      </c>
      <c r="K2">
        <v>220</v>
      </c>
      <c r="L2" s="3" t="s">
        <v>17</v>
      </c>
      <c r="M2">
        <v>8800</v>
      </c>
      <c r="N2" s="3">
        <v>0.16</v>
      </c>
      <c r="O2">
        <v>1408</v>
      </c>
      <c r="P2" s="3">
        <v>10208</v>
      </c>
      <c r="Q2" s="3" t="s">
        <v>84</v>
      </c>
      <c r="R2" t="s">
        <v>85</v>
      </c>
    </row>
    <row r="3" spans="1:18" x14ac:dyDescent="0.25">
      <c r="A3" t="s">
        <v>86</v>
      </c>
      <c r="B3" s="2">
        <v>46144</v>
      </c>
      <c r="C3" t="s">
        <v>15</v>
      </c>
      <c r="D3" t="s">
        <v>14</v>
      </c>
      <c r="E3" t="s">
        <v>82</v>
      </c>
      <c r="F3" t="s">
        <v>83</v>
      </c>
      <c r="G3" t="s">
        <v>19</v>
      </c>
      <c r="H3" t="s">
        <v>50</v>
      </c>
      <c r="I3" t="s">
        <v>16</v>
      </c>
      <c r="J3">
        <v>55</v>
      </c>
      <c r="K3">
        <v>215</v>
      </c>
      <c r="L3" s="3" t="s">
        <v>17</v>
      </c>
      <c r="M3">
        <v>11825</v>
      </c>
      <c r="N3" s="3">
        <v>0.16</v>
      </c>
      <c r="O3">
        <v>1892</v>
      </c>
      <c r="P3" s="3">
        <v>13717</v>
      </c>
      <c r="Q3" s="3" t="s">
        <v>84</v>
      </c>
      <c r="R3" t="s">
        <v>85</v>
      </c>
    </row>
    <row r="4" spans="1:18" x14ac:dyDescent="0.25">
      <c r="A4" t="s">
        <v>87</v>
      </c>
      <c r="B4" s="2">
        <v>46146</v>
      </c>
      <c r="C4" t="s">
        <v>15</v>
      </c>
      <c r="D4" t="s">
        <v>14</v>
      </c>
      <c r="E4" t="s">
        <v>82</v>
      </c>
      <c r="F4" t="s">
        <v>83</v>
      </c>
      <c r="G4" t="s">
        <v>20</v>
      </c>
      <c r="H4" t="s">
        <v>51</v>
      </c>
      <c r="I4" t="s">
        <v>16</v>
      </c>
      <c r="J4">
        <v>65</v>
      </c>
      <c r="K4">
        <v>225</v>
      </c>
      <c r="L4" s="3" t="s">
        <v>17</v>
      </c>
      <c r="M4">
        <v>14625</v>
      </c>
      <c r="N4" s="3">
        <v>0.16</v>
      </c>
      <c r="O4">
        <v>2340</v>
      </c>
      <c r="P4" s="3">
        <v>16965</v>
      </c>
      <c r="Q4" s="3" t="s">
        <v>84</v>
      </c>
      <c r="R4" t="s">
        <v>85</v>
      </c>
    </row>
    <row r="5" spans="1:18" x14ac:dyDescent="0.25">
      <c r="A5" t="s">
        <v>88</v>
      </c>
      <c r="B5" s="2">
        <v>46147</v>
      </c>
      <c r="C5" t="s">
        <v>15</v>
      </c>
      <c r="D5" t="s">
        <v>14</v>
      </c>
      <c r="E5" t="s">
        <v>82</v>
      </c>
      <c r="F5" t="s">
        <v>83</v>
      </c>
      <c r="G5" t="s">
        <v>21</v>
      </c>
      <c r="H5" t="s">
        <v>53</v>
      </c>
      <c r="I5" t="s">
        <v>16</v>
      </c>
      <c r="J5">
        <v>85</v>
      </c>
      <c r="K5">
        <v>210</v>
      </c>
      <c r="L5" s="3" t="s">
        <v>17</v>
      </c>
      <c r="M5">
        <v>17850</v>
      </c>
      <c r="N5" s="3">
        <v>0.16</v>
      </c>
      <c r="O5">
        <v>2856</v>
      </c>
      <c r="P5" s="3">
        <v>20706</v>
      </c>
      <c r="Q5" s="3" t="s">
        <v>84</v>
      </c>
      <c r="R5" t="s">
        <v>85</v>
      </c>
    </row>
    <row r="6" spans="1:18" x14ac:dyDescent="0.25">
      <c r="A6" t="s">
        <v>89</v>
      </c>
      <c r="B6" s="2">
        <v>46149</v>
      </c>
      <c r="C6" t="s">
        <v>15</v>
      </c>
      <c r="D6" t="s">
        <v>14</v>
      </c>
      <c r="E6" t="s">
        <v>82</v>
      </c>
      <c r="F6" t="s">
        <v>83</v>
      </c>
      <c r="G6" t="s">
        <v>22</v>
      </c>
      <c r="H6" t="s">
        <v>54</v>
      </c>
      <c r="I6" t="s">
        <v>16</v>
      </c>
      <c r="J6">
        <v>95</v>
      </c>
      <c r="K6">
        <v>218</v>
      </c>
      <c r="L6" s="3" t="s">
        <v>17</v>
      </c>
      <c r="M6">
        <v>20710</v>
      </c>
      <c r="N6" s="3">
        <v>0.16</v>
      </c>
      <c r="O6">
        <v>3313.6</v>
      </c>
      <c r="P6" s="3">
        <v>24023.599999999999</v>
      </c>
      <c r="Q6" s="3" t="s">
        <v>84</v>
      </c>
      <c r="R6" t="s">
        <v>85</v>
      </c>
    </row>
    <row r="7" spans="1:18" x14ac:dyDescent="0.25">
      <c r="A7" t="s">
        <v>90</v>
      </c>
      <c r="B7" s="2">
        <v>46150</v>
      </c>
      <c r="C7" t="s">
        <v>15</v>
      </c>
      <c r="D7" t="s">
        <v>14</v>
      </c>
      <c r="E7" t="s">
        <v>82</v>
      </c>
      <c r="F7" t="s">
        <v>83</v>
      </c>
      <c r="G7" t="s">
        <v>23</v>
      </c>
      <c r="H7" t="s">
        <v>55</v>
      </c>
      <c r="I7" t="s">
        <v>16</v>
      </c>
      <c r="J7">
        <v>110</v>
      </c>
      <c r="K7">
        <v>212</v>
      </c>
      <c r="L7" s="3" t="s">
        <v>17</v>
      </c>
      <c r="M7">
        <v>23320</v>
      </c>
      <c r="N7" s="3">
        <v>0.16</v>
      </c>
      <c r="O7">
        <v>3731.2</v>
      </c>
      <c r="P7" s="3">
        <v>27051.200000000001</v>
      </c>
      <c r="Q7" s="3" t="s">
        <v>84</v>
      </c>
      <c r="R7" t="s">
        <v>85</v>
      </c>
    </row>
    <row r="8" spans="1:18" x14ac:dyDescent="0.25">
      <c r="A8" t="s">
        <v>91</v>
      </c>
      <c r="B8" s="2">
        <v>46152</v>
      </c>
      <c r="C8" t="s">
        <v>15</v>
      </c>
      <c r="D8" t="s">
        <v>14</v>
      </c>
      <c r="E8" t="s">
        <v>82</v>
      </c>
      <c r="F8" t="s">
        <v>83</v>
      </c>
      <c r="G8" t="s">
        <v>24</v>
      </c>
      <c r="H8" t="s">
        <v>56</v>
      </c>
      <c r="I8" t="s">
        <v>16</v>
      </c>
      <c r="J8">
        <v>125</v>
      </c>
      <c r="K8">
        <v>220</v>
      </c>
      <c r="L8" s="3" t="s">
        <v>17</v>
      </c>
      <c r="M8">
        <v>27500</v>
      </c>
      <c r="N8" s="3">
        <v>0.16</v>
      </c>
      <c r="O8">
        <v>4400</v>
      </c>
      <c r="P8" s="3">
        <v>31900</v>
      </c>
      <c r="Q8" s="3" t="s">
        <v>84</v>
      </c>
      <c r="R8" t="s">
        <v>85</v>
      </c>
    </row>
    <row r="9" spans="1:18" x14ac:dyDescent="0.25">
      <c r="A9" t="s">
        <v>92</v>
      </c>
      <c r="B9" s="2">
        <v>46153</v>
      </c>
      <c r="C9" t="s">
        <v>15</v>
      </c>
      <c r="D9" t="s">
        <v>14</v>
      </c>
      <c r="E9" t="s">
        <v>82</v>
      </c>
      <c r="F9" t="s">
        <v>83</v>
      </c>
      <c r="G9" t="s">
        <v>25</v>
      </c>
      <c r="H9" t="s">
        <v>57</v>
      </c>
      <c r="I9" t="s">
        <v>16</v>
      </c>
      <c r="J9">
        <v>52</v>
      </c>
      <c r="K9">
        <v>230</v>
      </c>
      <c r="L9" s="3" t="s">
        <v>17</v>
      </c>
      <c r="M9">
        <v>11960</v>
      </c>
      <c r="N9" s="3">
        <v>0.16</v>
      </c>
      <c r="O9">
        <v>1913.6</v>
      </c>
      <c r="P9" s="3">
        <v>13873.6</v>
      </c>
      <c r="Q9" s="3" t="s">
        <v>84</v>
      </c>
      <c r="R9" t="s">
        <v>85</v>
      </c>
    </row>
    <row r="10" spans="1:18" x14ac:dyDescent="0.25">
      <c r="A10" t="s">
        <v>93</v>
      </c>
      <c r="B10" s="2">
        <v>46155</v>
      </c>
      <c r="C10" t="s">
        <v>15</v>
      </c>
      <c r="D10" t="s">
        <v>14</v>
      </c>
      <c r="E10" t="s">
        <v>82</v>
      </c>
      <c r="F10" t="s">
        <v>83</v>
      </c>
      <c r="G10" t="s">
        <v>26</v>
      </c>
      <c r="H10" t="s">
        <v>59</v>
      </c>
      <c r="I10" t="s">
        <v>16</v>
      </c>
      <c r="J10">
        <v>75</v>
      </c>
      <c r="K10">
        <v>216</v>
      </c>
      <c r="L10" s="3" t="s">
        <v>17</v>
      </c>
      <c r="M10">
        <v>16200</v>
      </c>
      <c r="N10" s="3">
        <v>0.16</v>
      </c>
      <c r="O10">
        <v>2592</v>
      </c>
      <c r="P10" s="3">
        <v>18792</v>
      </c>
      <c r="Q10" s="3" t="s">
        <v>84</v>
      </c>
      <c r="R10" t="s">
        <v>85</v>
      </c>
    </row>
    <row r="11" spans="1:18" x14ac:dyDescent="0.25">
      <c r="A11" t="s">
        <v>94</v>
      </c>
      <c r="B11" s="2">
        <v>46156</v>
      </c>
      <c r="C11" t="s">
        <v>15</v>
      </c>
      <c r="D11" t="s">
        <v>14</v>
      </c>
      <c r="E11" t="s">
        <v>82</v>
      </c>
      <c r="F11" t="s">
        <v>83</v>
      </c>
      <c r="G11" t="s">
        <v>27</v>
      </c>
      <c r="H11" t="s">
        <v>60</v>
      </c>
      <c r="I11" t="s">
        <v>16</v>
      </c>
      <c r="J11">
        <v>90</v>
      </c>
      <c r="K11">
        <v>214</v>
      </c>
      <c r="L11" s="3" t="s">
        <v>17</v>
      </c>
      <c r="M11">
        <v>19260</v>
      </c>
      <c r="N11" s="3">
        <v>0.16</v>
      </c>
      <c r="O11">
        <v>3081.6</v>
      </c>
      <c r="P11" s="3">
        <v>22341.599999999999</v>
      </c>
      <c r="Q11" s="3" t="s">
        <v>84</v>
      </c>
      <c r="R11" t="s">
        <v>85</v>
      </c>
    </row>
    <row r="12" spans="1:18" x14ac:dyDescent="0.25">
      <c r="A12" t="s">
        <v>95</v>
      </c>
      <c r="B12" s="2">
        <v>46158</v>
      </c>
      <c r="C12" t="s">
        <v>15</v>
      </c>
      <c r="D12" t="s">
        <v>14</v>
      </c>
      <c r="E12" t="s">
        <v>82</v>
      </c>
      <c r="F12" t="s">
        <v>83</v>
      </c>
      <c r="G12" t="s">
        <v>28</v>
      </c>
      <c r="H12" t="s">
        <v>61</v>
      </c>
      <c r="I12" t="s">
        <v>16</v>
      </c>
      <c r="J12">
        <v>105</v>
      </c>
      <c r="K12">
        <v>222</v>
      </c>
      <c r="L12" s="3" t="s">
        <v>17</v>
      </c>
      <c r="M12">
        <v>23310</v>
      </c>
      <c r="N12" s="3">
        <v>0.16</v>
      </c>
      <c r="O12">
        <v>3729.6</v>
      </c>
      <c r="P12" s="3">
        <v>27039.599999999999</v>
      </c>
      <c r="Q12" s="3" t="s">
        <v>84</v>
      </c>
      <c r="R12" t="s">
        <v>85</v>
      </c>
    </row>
    <row r="13" spans="1:18" x14ac:dyDescent="0.25">
      <c r="A13" t="s">
        <v>96</v>
      </c>
      <c r="B13" s="2">
        <v>46159</v>
      </c>
      <c r="C13" t="s">
        <v>15</v>
      </c>
      <c r="D13" t="s">
        <v>14</v>
      </c>
      <c r="E13" t="s">
        <v>82</v>
      </c>
      <c r="F13" t="s">
        <v>83</v>
      </c>
      <c r="G13" t="s">
        <v>29</v>
      </c>
      <c r="H13" t="s">
        <v>62</v>
      </c>
      <c r="I13" t="s">
        <v>16</v>
      </c>
      <c r="J13">
        <v>120</v>
      </c>
      <c r="K13">
        <v>219</v>
      </c>
      <c r="L13" s="3" t="s">
        <v>17</v>
      </c>
      <c r="M13">
        <v>26280</v>
      </c>
      <c r="N13" s="3">
        <v>0.16</v>
      </c>
      <c r="O13">
        <v>4204.8</v>
      </c>
      <c r="P13" s="3">
        <v>30484.799999999999</v>
      </c>
      <c r="Q13" s="3" t="s">
        <v>84</v>
      </c>
      <c r="R13" t="s">
        <v>85</v>
      </c>
    </row>
    <row r="14" spans="1:18" x14ac:dyDescent="0.25">
      <c r="A14" t="s">
        <v>97</v>
      </c>
      <c r="B14" s="2">
        <v>46161</v>
      </c>
      <c r="C14" t="s">
        <v>15</v>
      </c>
      <c r="D14" t="s">
        <v>14</v>
      </c>
      <c r="E14" t="s">
        <v>82</v>
      </c>
      <c r="F14" t="s">
        <v>83</v>
      </c>
      <c r="G14" t="s">
        <v>30</v>
      </c>
      <c r="H14" t="s">
        <v>63</v>
      </c>
      <c r="I14" t="s">
        <v>16</v>
      </c>
      <c r="J14">
        <v>55</v>
      </c>
      <c r="K14">
        <v>228</v>
      </c>
      <c r="L14" s="3" t="s">
        <v>17</v>
      </c>
      <c r="M14">
        <v>12540</v>
      </c>
      <c r="N14" s="3">
        <v>0.16</v>
      </c>
      <c r="O14">
        <v>2006.4</v>
      </c>
      <c r="P14" s="3">
        <v>14546.4</v>
      </c>
      <c r="Q14" s="3" t="s">
        <v>84</v>
      </c>
      <c r="R14" t="s">
        <v>85</v>
      </c>
    </row>
    <row r="15" spans="1:18" x14ac:dyDescent="0.25">
      <c r="A15" t="s">
        <v>98</v>
      </c>
      <c r="B15" s="2">
        <v>46162</v>
      </c>
      <c r="C15" t="s">
        <v>15</v>
      </c>
      <c r="D15" t="s">
        <v>14</v>
      </c>
      <c r="E15" t="s">
        <v>82</v>
      </c>
      <c r="F15" t="s">
        <v>83</v>
      </c>
      <c r="G15" t="s">
        <v>31</v>
      </c>
      <c r="H15" t="s">
        <v>64</v>
      </c>
      <c r="I15" t="s">
        <v>16</v>
      </c>
      <c r="J15">
        <v>80</v>
      </c>
      <c r="K15">
        <v>217</v>
      </c>
      <c r="L15" s="3" t="s">
        <v>17</v>
      </c>
      <c r="M15">
        <v>17360</v>
      </c>
      <c r="N15" s="3">
        <v>0.16</v>
      </c>
      <c r="O15">
        <v>2777.6</v>
      </c>
      <c r="P15" s="3">
        <v>20137.599999999999</v>
      </c>
      <c r="Q15" s="3" t="s">
        <v>84</v>
      </c>
      <c r="R15" t="s">
        <v>85</v>
      </c>
    </row>
    <row r="16" spans="1:18" x14ac:dyDescent="0.25">
      <c r="A16" t="s">
        <v>99</v>
      </c>
      <c r="B16" s="2">
        <v>46164</v>
      </c>
      <c r="C16" t="s">
        <v>15</v>
      </c>
      <c r="D16" t="s">
        <v>14</v>
      </c>
      <c r="E16" t="s">
        <v>82</v>
      </c>
      <c r="F16" t="s">
        <v>83</v>
      </c>
      <c r="G16" t="s">
        <v>32</v>
      </c>
      <c r="H16" t="s">
        <v>65</v>
      </c>
      <c r="I16" t="s">
        <v>16</v>
      </c>
      <c r="J16">
        <v>100</v>
      </c>
      <c r="K16">
        <v>221</v>
      </c>
      <c r="L16" s="3" t="s">
        <v>17</v>
      </c>
      <c r="M16">
        <v>22100</v>
      </c>
      <c r="N16" s="3">
        <v>0.16</v>
      </c>
      <c r="O16">
        <v>3536</v>
      </c>
      <c r="P16" s="3">
        <v>25636</v>
      </c>
      <c r="Q16" s="3" t="s">
        <v>84</v>
      </c>
      <c r="R16" t="s">
        <v>85</v>
      </c>
    </row>
    <row r="17" spans="1:18" x14ac:dyDescent="0.25">
      <c r="A17" t="s">
        <v>100</v>
      </c>
      <c r="B17" s="2">
        <v>46165</v>
      </c>
      <c r="C17" t="s">
        <v>15</v>
      </c>
      <c r="D17" t="s">
        <v>14</v>
      </c>
      <c r="E17" t="s">
        <v>82</v>
      </c>
      <c r="F17" t="s">
        <v>83</v>
      </c>
      <c r="G17" t="s">
        <v>33</v>
      </c>
      <c r="H17" t="s">
        <v>66</v>
      </c>
      <c r="I17" t="s">
        <v>16</v>
      </c>
      <c r="J17">
        <v>115</v>
      </c>
      <c r="K17">
        <v>213</v>
      </c>
      <c r="L17" s="3" t="s">
        <v>17</v>
      </c>
      <c r="M17">
        <v>24495</v>
      </c>
      <c r="N17" s="3">
        <v>0.16</v>
      </c>
      <c r="O17">
        <v>3919.2</v>
      </c>
      <c r="P17" s="3">
        <v>28414.2</v>
      </c>
      <c r="Q17" s="3" t="s">
        <v>84</v>
      </c>
      <c r="R17" t="s">
        <v>85</v>
      </c>
    </row>
    <row r="18" spans="1:18" x14ac:dyDescent="0.25">
      <c r="A18" t="s">
        <v>101</v>
      </c>
      <c r="B18" s="2">
        <v>46167</v>
      </c>
      <c r="C18" t="s">
        <v>15</v>
      </c>
      <c r="D18" t="s">
        <v>14</v>
      </c>
      <c r="E18" t="s">
        <v>82</v>
      </c>
      <c r="F18" t="s">
        <v>83</v>
      </c>
      <c r="G18" t="s">
        <v>34</v>
      </c>
      <c r="H18" t="s">
        <v>67</v>
      </c>
      <c r="I18" t="s">
        <v>16</v>
      </c>
      <c r="J18">
        <v>130</v>
      </c>
      <c r="K18">
        <v>218</v>
      </c>
      <c r="L18" s="3" t="s">
        <v>17</v>
      </c>
      <c r="M18">
        <v>28340</v>
      </c>
      <c r="N18" s="3">
        <v>0.16</v>
      </c>
      <c r="O18">
        <v>4534.3999999999996</v>
      </c>
      <c r="P18" s="3">
        <v>32874.400000000001</v>
      </c>
      <c r="Q18" s="3" t="s">
        <v>84</v>
      </c>
      <c r="R18" t="s">
        <v>85</v>
      </c>
    </row>
    <row r="19" spans="1:18" x14ac:dyDescent="0.25">
      <c r="A19" t="s">
        <v>102</v>
      </c>
      <c r="B19" s="2">
        <v>46168</v>
      </c>
      <c r="C19" t="s">
        <v>15</v>
      </c>
      <c r="D19" t="s">
        <v>14</v>
      </c>
      <c r="E19" t="s">
        <v>82</v>
      </c>
      <c r="F19" t="s">
        <v>83</v>
      </c>
      <c r="G19" t="s">
        <v>35</v>
      </c>
      <c r="H19" t="s">
        <v>68</v>
      </c>
      <c r="I19" t="s">
        <v>16</v>
      </c>
      <c r="J19">
        <v>50</v>
      </c>
      <c r="K19">
        <v>232</v>
      </c>
      <c r="L19" s="3" t="s">
        <v>17</v>
      </c>
      <c r="M19">
        <v>11600</v>
      </c>
      <c r="N19" s="3">
        <v>0.16</v>
      </c>
      <c r="O19">
        <v>1856</v>
      </c>
      <c r="P19" s="3">
        <v>13456</v>
      </c>
      <c r="Q19" s="3" t="s">
        <v>84</v>
      </c>
      <c r="R19" t="s">
        <v>85</v>
      </c>
    </row>
    <row r="20" spans="1:18" x14ac:dyDescent="0.25">
      <c r="A20" t="s">
        <v>103</v>
      </c>
      <c r="B20" s="2">
        <v>46170</v>
      </c>
      <c r="C20" t="s">
        <v>15</v>
      </c>
      <c r="D20" t="s">
        <v>14</v>
      </c>
      <c r="E20" t="s">
        <v>82</v>
      </c>
      <c r="F20" t="s">
        <v>83</v>
      </c>
      <c r="G20" t="s">
        <v>36</v>
      </c>
      <c r="H20" t="s">
        <v>69</v>
      </c>
      <c r="I20" t="s">
        <v>16</v>
      </c>
      <c r="J20">
        <v>72</v>
      </c>
      <c r="K20">
        <v>224</v>
      </c>
      <c r="L20" s="3" t="s">
        <v>17</v>
      </c>
      <c r="M20">
        <v>16128</v>
      </c>
      <c r="N20" s="3">
        <v>0.16</v>
      </c>
      <c r="O20">
        <v>2580.48</v>
      </c>
      <c r="P20" s="3">
        <v>18708.48</v>
      </c>
      <c r="Q20" s="3" t="s">
        <v>84</v>
      </c>
      <c r="R20" t="s">
        <v>85</v>
      </c>
    </row>
    <row r="21" spans="1:18" x14ac:dyDescent="0.25">
      <c r="A21" t="s">
        <v>104</v>
      </c>
      <c r="B21" s="2">
        <v>46172</v>
      </c>
      <c r="C21" t="s">
        <v>15</v>
      </c>
      <c r="D21" t="s">
        <v>14</v>
      </c>
      <c r="E21" t="s">
        <v>82</v>
      </c>
      <c r="F21" t="s">
        <v>83</v>
      </c>
      <c r="G21" t="s">
        <v>37</v>
      </c>
      <c r="H21" t="s">
        <v>70</v>
      </c>
      <c r="I21" t="s">
        <v>16</v>
      </c>
      <c r="J21">
        <v>88</v>
      </c>
      <c r="K21">
        <v>220</v>
      </c>
      <c r="L21" s="3" t="s">
        <v>17</v>
      </c>
      <c r="M21">
        <v>19360</v>
      </c>
      <c r="N21" s="3">
        <v>0.16</v>
      </c>
      <c r="O21">
        <v>3097.6</v>
      </c>
      <c r="P21" s="3">
        <v>22457.599999999999</v>
      </c>
      <c r="Q21" s="3" t="s">
        <v>84</v>
      </c>
      <c r="R21" t="s">
        <v>85</v>
      </c>
    </row>
    <row r="22" spans="1:18" x14ac:dyDescent="0.25">
      <c r="M22">
        <f>SUM(M2:M21)</f>
        <v>373563</v>
      </c>
      <c r="O22">
        <f>SUM(O2:O21)</f>
        <v>59770.079999999994</v>
      </c>
    </row>
  </sheetData>
  <autoFilter ref="A1:R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"/>
  <sheetViews>
    <sheetView topLeftCell="L1" workbookViewId="0">
      <pane ySplit="1" topLeftCell="A2" activePane="bottomLeft" state="frozen"/>
      <selection pane="bottomLeft" activeCell="M6" sqref="M6"/>
    </sheetView>
  </sheetViews>
  <sheetFormatPr defaultRowHeight="15" x14ac:dyDescent="0.25"/>
  <cols>
    <col min="1" max="1" width="19" customWidth="1"/>
    <col min="2" max="2" width="17" customWidth="1"/>
    <col min="3" max="3" width="15" customWidth="1"/>
    <col min="4" max="4" width="13" customWidth="1"/>
    <col min="5" max="5" width="16" customWidth="1"/>
    <col min="6" max="8" width="18" customWidth="1"/>
    <col min="9" max="9" width="26" customWidth="1"/>
    <col min="10" max="10" width="21" customWidth="1"/>
    <col min="11" max="11" width="22" customWidth="1"/>
    <col min="12" max="12" width="12" customWidth="1"/>
    <col min="13" max="13" width="22" customWidth="1"/>
    <col min="14" max="14" width="24" customWidth="1"/>
    <col min="15" max="15" width="32" customWidth="1"/>
  </cols>
  <sheetData>
    <row r="1" spans="1:15" x14ac:dyDescent="0.2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0</v>
      </c>
      <c r="F1" s="1" t="s">
        <v>38</v>
      </c>
      <c r="G1" s="1" t="s">
        <v>71</v>
      </c>
      <c r="H1" s="1" t="s">
        <v>4</v>
      </c>
      <c r="I1" s="1" t="s">
        <v>109</v>
      </c>
      <c r="J1" s="1" t="s">
        <v>6</v>
      </c>
      <c r="K1" s="1" t="s">
        <v>110</v>
      </c>
      <c r="L1" s="1" t="s">
        <v>9</v>
      </c>
      <c r="M1" s="1" t="s">
        <v>111</v>
      </c>
      <c r="N1" s="1" t="s">
        <v>112</v>
      </c>
      <c r="O1" s="1" t="s">
        <v>113</v>
      </c>
    </row>
    <row r="2" spans="1:15" x14ac:dyDescent="0.25">
      <c r="A2" t="s">
        <v>114</v>
      </c>
      <c r="B2" s="2">
        <v>46146</v>
      </c>
      <c r="C2" t="s">
        <v>14</v>
      </c>
      <c r="D2" t="s">
        <v>15</v>
      </c>
      <c r="E2" t="s">
        <v>20</v>
      </c>
      <c r="F2" t="s">
        <v>51</v>
      </c>
      <c r="G2" t="s">
        <v>87</v>
      </c>
      <c r="H2" t="s">
        <v>16</v>
      </c>
      <c r="I2">
        <v>5</v>
      </c>
      <c r="J2" s="3">
        <v>225</v>
      </c>
      <c r="K2" s="3">
        <v>1125</v>
      </c>
      <c r="L2">
        <v>0.16</v>
      </c>
      <c r="M2" s="3">
        <v>180</v>
      </c>
      <c r="N2" s="3">
        <v>1305</v>
      </c>
      <c r="O2" t="s">
        <v>115</v>
      </c>
    </row>
    <row r="3" spans="1:15" x14ac:dyDescent="0.25">
      <c r="A3" t="s">
        <v>116</v>
      </c>
      <c r="B3" s="2">
        <v>46153</v>
      </c>
      <c r="C3" t="s">
        <v>14</v>
      </c>
      <c r="D3" t="s">
        <v>15</v>
      </c>
      <c r="E3" t="s">
        <v>25</v>
      </c>
      <c r="F3" t="s">
        <v>57</v>
      </c>
      <c r="G3" t="s">
        <v>92</v>
      </c>
      <c r="H3" t="s">
        <v>16</v>
      </c>
      <c r="I3">
        <v>8</v>
      </c>
      <c r="J3" s="3">
        <v>230</v>
      </c>
      <c r="K3" s="3">
        <v>1840</v>
      </c>
      <c r="L3">
        <v>0.16</v>
      </c>
      <c r="M3" s="3">
        <v>294.39999999999998</v>
      </c>
      <c r="N3" s="3">
        <v>2134.4</v>
      </c>
      <c r="O3" t="s">
        <v>115</v>
      </c>
    </row>
    <row r="4" spans="1:15" x14ac:dyDescent="0.25">
      <c r="A4" t="s">
        <v>117</v>
      </c>
      <c r="B4" s="2">
        <v>46161</v>
      </c>
      <c r="C4" t="s">
        <v>14</v>
      </c>
      <c r="D4" t="s">
        <v>15</v>
      </c>
      <c r="E4" t="s">
        <v>30</v>
      </c>
      <c r="F4" t="s">
        <v>63</v>
      </c>
      <c r="G4" t="s">
        <v>97</v>
      </c>
      <c r="H4" t="s">
        <v>16</v>
      </c>
      <c r="I4">
        <v>10</v>
      </c>
      <c r="J4" s="3">
        <v>228</v>
      </c>
      <c r="K4" s="3">
        <v>2280</v>
      </c>
      <c r="L4">
        <v>0.16</v>
      </c>
      <c r="M4" s="3">
        <v>364.8</v>
      </c>
      <c r="N4" s="3">
        <v>2644.8</v>
      </c>
      <c r="O4" t="s">
        <v>115</v>
      </c>
    </row>
    <row r="5" spans="1:15" x14ac:dyDescent="0.25">
      <c r="A5" t="s">
        <v>118</v>
      </c>
      <c r="B5" s="2">
        <v>46156</v>
      </c>
      <c r="C5" t="s">
        <v>14</v>
      </c>
      <c r="D5" t="s">
        <v>15</v>
      </c>
      <c r="E5" t="s">
        <v>27</v>
      </c>
      <c r="F5" t="s">
        <v>60</v>
      </c>
      <c r="G5" t="s">
        <v>94</v>
      </c>
      <c r="H5" t="s">
        <v>16</v>
      </c>
      <c r="I5">
        <v>5</v>
      </c>
      <c r="J5" s="3">
        <v>214</v>
      </c>
      <c r="K5" s="3">
        <v>1070</v>
      </c>
      <c r="L5">
        <v>0.16</v>
      </c>
      <c r="M5" s="3">
        <v>171.2</v>
      </c>
      <c r="N5" s="3">
        <v>1241.2</v>
      </c>
      <c r="O5" t="s">
        <v>119</v>
      </c>
    </row>
    <row r="6" spans="1:15" x14ac:dyDescent="0.25">
      <c r="K6" s="3">
        <f>SUM(K2:K5)</f>
        <v>6315</v>
      </c>
      <c r="M6" s="3">
        <f>SUM(M2:M5)</f>
        <v>1010.4000000000001</v>
      </c>
      <c r="N6" s="3">
        <f>SUM(N2:N5)</f>
        <v>7325.4000000000005</v>
      </c>
    </row>
  </sheetData>
  <autoFilter ref="A1:O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"/>
  <sheetViews>
    <sheetView topLeftCell="L1" workbookViewId="0">
      <pane ySplit="1" topLeftCell="A2" activePane="bottomLeft" state="frozen"/>
      <selection pane="bottomLeft" activeCell="N7" sqref="N7"/>
    </sheetView>
  </sheetViews>
  <sheetFormatPr defaultRowHeight="15" x14ac:dyDescent="0.25"/>
  <cols>
    <col min="1" max="1" width="20" customWidth="1"/>
    <col min="2" max="2" width="18" customWidth="1"/>
    <col min="3" max="3" width="13" customWidth="1"/>
    <col min="4" max="4" width="15" customWidth="1"/>
    <col min="5" max="5" width="16" customWidth="1"/>
    <col min="6" max="8" width="18" customWidth="1"/>
    <col min="9" max="9" width="26" customWidth="1"/>
    <col min="10" max="10" width="21" customWidth="1"/>
    <col min="11" max="11" width="22" customWidth="1"/>
    <col min="12" max="12" width="12" customWidth="1"/>
    <col min="13" max="13" width="22" customWidth="1"/>
    <col min="14" max="14" width="24" customWidth="1"/>
    <col min="15" max="15" width="32" customWidth="1"/>
  </cols>
  <sheetData>
    <row r="1" spans="1:15" x14ac:dyDescent="0.25">
      <c r="A1" s="1" t="s">
        <v>120</v>
      </c>
      <c r="B1" s="1" t="s">
        <v>121</v>
      </c>
      <c r="C1" s="1" t="s">
        <v>107</v>
      </c>
      <c r="D1" s="1" t="s">
        <v>108</v>
      </c>
      <c r="E1" s="1" t="s">
        <v>0</v>
      </c>
      <c r="F1" s="1" t="s">
        <v>38</v>
      </c>
      <c r="G1" s="1" t="s">
        <v>71</v>
      </c>
      <c r="H1" s="1" t="s">
        <v>4</v>
      </c>
      <c r="I1" s="1" t="s">
        <v>109</v>
      </c>
      <c r="J1" s="1" t="s">
        <v>6</v>
      </c>
      <c r="K1" s="1" t="s">
        <v>110</v>
      </c>
      <c r="L1" s="1" t="s">
        <v>9</v>
      </c>
      <c r="M1" s="1" t="s">
        <v>111</v>
      </c>
      <c r="N1" s="1" t="s">
        <v>112</v>
      </c>
      <c r="O1" s="1" t="s">
        <v>113</v>
      </c>
    </row>
    <row r="2" spans="1:15" x14ac:dyDescent="0.25">
      <c r="A2" t="s">
        <v>122</v>
      </c>
      <c r="B2" s="2">
        <v>46149</v>
      </c>
      <c r="C2" t="s">
        <v>15</v>
      </c>
      <c r="D2" t="s">
        <v>14</v>
      </c>
      <c r="E2" t="s">
        <v>22</v>
      </c>
      <c r="F2" t="s">
        <v>54</v>
      </c>
      <c r="G2" t="s">
        <v>89</v>
      </c>
      <c r="H2" t="s">
        <v>16</v>
      </c>
      <c r="I2">
        <v>3</v>
      </c>
      <c r="J2" s="3">
        <v>218</v>
      </c>
      <c r="K2" s="3">
        <v>654</v>
      </c>
      <c r="L2">
        <v>0.16</v>
      </c>
      <c r="M2" s="3">
        <v>104.64</v>
      </c>
      <c r="N2" s="3">
        <v>758.64</v>
      </c>
      <c r="O2" t="s">
        <v>123</v>
      </c>
    </row>
    <row r="3" spans="1:15" x14ac:dyDescent="0.25">
      <c r="A3" t="s">
        <v>124</v>
      </c>
      <c r="B3" s="2">
        <v>46165</v>
      </c>
      <c r="C3" t="s">
        <v>15</v>
      </c>
      <c r="D3" t="s">
        <v>14</v>
      </c>
      <c r="E3" t="s">
        <v>33</v>
      </c>
      <c r="F3" t="s">
        <v>66</v>
      </c>
      <c r="G3" t="s">
        <v>100</v>
      </c>
      <c r="H3" t="s">
        <v>16</v>
      </c>
      <c r="I3">
        <v>2</v>
      </c>
      <c r="J3" s="3">
        <v>213</v>
      </c>
      <c r="K3" s="3">
        <v>426</v>
      </c>
      <c r="L3">
        <v>0.16</v>
      </c>
      <c r="M3" s="3">
        <v>68.16</v>
      </c>
      <c r="N3" s="3">
        <v>494.16</v>
      </c>
      <c r="O3" t="s">
        <v>125</v>
      </c>
    </row>
    <row r="4" spans="1:15" x14ac:dyDescent="0.25">
      <c r="M4" s="3">
        <f>SUM(M2:M3)</f>
        <v>172.8</v>
      </c>
    </row>
  </sheetData>
  <autoFilter ref="A1:O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3"/>
  <sheetViews>
    <sheetView topLeftCell="B1" workbookViewId="0">
      <pane ySplit="1" topLeftCell="A2" activePane="bottomLeft" state="frozen"/>
      <selection pane="bottomLeft" activeCell="K22" sqref="K22"/>
    </sheetView>
  </sheetViews>
  <sheetFormatPr defaultRowHeight="15" x14ac:dyDescent="0.25"/>
  <cols>
    <col min="1" max="1" width="18" customWidth="1"/>
    <col min="2" max="2" width="14" customWidth="1"/>
    <col min="3" max="3" width="16" customWidth="1"/>
    <col min="4" max="6" width="18" customWidth="1"/>
    <col min="7" max="7" width="20" customWidth="1"/>
    <col min="8" max="8" width="19" customWidth="1"/>
    <col min="9" max="9" width="20" customWidth="1"/>
    <col min="10" max="10" width="24" customWidth="1"/>
    <col min="11" max="11" width="10.140625" bestFit="1" customWidth="1"/>
  </cols>
  <sheetData>
    <row r="1" spans="1:11" x14ac:dyDescent="0.25">
      <c r="A1" s="1" t="s">
        <v>71</v>
      </c>
      <c r="B1" s="1" t="s">
        <v>72</v>
      </c>
      <c r="C1" s="1" t="s">
        <v>0</v>
      </c>
      <c r="D1" s="1" t="s">
        <v>38</v>
      </c>
      <c r="E1" s="1" t="s">
        <v>76</v>
      </c>
      <c r="F1" s="1" t="s">
        <v>77</v>
      </c>
      <c r="G1" s="1" t="s">
        <v>78</v>
      </c>
      <c r="H1" s="1" t="s">
        <v>126</v>
      </c>
      <c r="I1" s="1" t="s">
        <v>127</v>
      </c>
      <c r="J1" s="1" t="s">
        <v>128</v>
      </c>
    </row>
    <row r="2" spans="1:11" x14ac:dyDescent="0.25">
      <c r="A2" t="s">
        <v>81</v>
      </c>
      <c r="B2" s="2">
        <v>46143</v>
      </c>
      <c r="C2" t="s">
        <v>13</v>
      </c>
      <c r="D2" t="s">
        <v>45</v>
      </c>
      <c r="E2" s="3">
        <v>8800</v>
      </c>
      <c r="F2" s="3">
        <v>1408</v>
      </c>
      <c r="G2" s="3">
        <v>10208</v>
      </c>
      <c r="H2" s="3">
        <v>0</v>
      </c>
      <c r="I2" s="3">
        <v>0</v>
      </c>
      <c r="J2" s="3">
        <v>10208</v>
      </c>
    </row>
    <row r="3" spans="1:11" x14ac:dyDescent="0.25">
      <c r="A3" t="s">
        <v>86</v>
      </c>
      <c r="B3" s="2">
        <v>46144</v>
      </c>
      <c r="C3" t="s">
        <v>19</v>
      </c>
      <c r="D3" t="s">
        <v>50</v>
      </c>
      <c r="E3" s="3">
        <v>11825</v>
      </c>
      <c r="F3" s="3">
        <v>1892</v>
      </c>
      <c r="G3" s="3">
        <v>13717</v>
      </c>
      <c r="H3" s="3">
        <v>0</v>
      </c>
      <c r="I3" s="3">
        <v>0</v>
      </c>
      <c r="J3" s="3">
        <v>13717</v>
      </c>
    </row>
    <row r="4" spans="1:11" x14ac:dyDescent="0.25">
      <c r="A4" t="s">
        <v>87</v>
      </c>
      <c r="B4" s="2">
        <v>46146</v>
      </c>
      <c r="C4" t="s">
        <v>20</v>
      </c>
      <c r="D4" t="s">
        <v>51</v>
      </c>
      <c r="E4" s="4">
        <v>15750</v>
      </c>
      <c r="F4" s="3">
        <v>2520</v>
      </c>
      <c r="G4" s="3">
        <v>18270</v>
      </c>
      <c r="H4" s="3">
        <v>1305</v>
      </c>
      <c r="I4" s="3">
        <v>0</v>
      </c>
      <c r="J4" s="3">
        <v>19575</v>
      </c>
    </row>
    <row r="5" spans="1:11" x14ac:dyDescent="0.25">
      <c r="A5" t="s">
        <v>88</v>
      </c>
      <c r="B5" s="2">
        <v>46147</v>
      </c>
      <c r="C5" t="s">
        <v>21</v>
      </c>
      <c r="D5" t="s">
        <v>53</v>
      </c>
      <c r="E5" s="3">
        <v>17850</v>
      </c>
      <c r="F5" s="3">
        <v>2856</v>
      </c>
      <c r="G5" s="3">
        <v>20706</v>
      </c>
      <c r="H5" s="3">
        <v>0</v>
      </c>
      <c r="I5" s="3">
        <v>0</v>
      </c>
      <c r="J5" s="3">
        <v>20706</v>
      </c>
    </row>
    <row r="6" spans="1:11" x14ac:dyDescent="0.25">
      <c r="A6" t="s">
        <v>89</v>
      </c>
      <c r="B6" s="2">
        <v>46149</v>
      </c>
      <c r="C6" t="s">
        <v>22</v>
      </c>
      <c r="D6" t="s">
        <v>54</v>
      </c>
      <c r="E6" s="3">
        <v>20710</v>
      </c>
      <c r="F6" s="3">
        <v>3313.6</v>
      </c>
      <c r="G6" s="3">
        <v>24023.599999999999</v>
      </c>
      <c r="H6" s="3">
        <v>0</v>
      </c>
      <c r="I6" s="3">
        <v>758.64</v>
      </c>
      <c r="J6" s="3">
        <v>23264.959999999999</v>
      </c>
      <c r="K6" s="3"/>
    </row>
    <row r="7" spans="1:11" x14ac:dyDescent="0.25">
      <c r="A7" t="s">
        <v>90</v>
      </c>
      <c r="B7" s="2">
        <v>46150</v>
      </c>
      <c r="C7" t="s">
        <v>23</v>
      </c>
      <c r="D7" t="s">
        <v>55</v>
      </c>
      <c r="E7" s="3">
        <v>23320</v>
      </c>
      <c r="F7" s="3">
        <v>3731.2</v>
      </c>
      <c r="G7" s="3">
        <v>27051.200000000001</v>
      </c>
      <c r="H7" s="3">
        <v>0</v>
      </c>
      <c r="I7" s="3">
        <v>0</v>
      </c>
      <c r="J7" s="3">
        <v>27051.200000000001</v>
      </c>
    </row>
    <row r="8" spans="1:11" x14ac:dyDescent="0.25">
      <c r="A8" t="s">
        <v>91</v>
      </c>
      <c r="B8" s="2">
        <v>46152</v>
      </c>
      <c r="C8" t="s">
        <v>24</v>
      </c>
      <c r="D8" t="s">
        <v>56</v>
      </c>
      <c r="E8" s="3">
        <v>27500</v>
      </c>
      <c r="F8" s="3">
        <v>4400</v>
      </c>
      <c r="G8" s="3">
        <v>31900</v>
      </c>
      <c r="H8" s="3">
        <v>0</v>
      </c>
      <c r="I8" s="3">
        <v>0</v>
      </c>
      <c r="J8" s="3">
        <v>31900</v>
      </c>
    </row>
    <row r="9" spans="1:11" x14ac:dyDescent="0.25">
      <c r="A9" t="s">
        <v>92</v>
      </c>
      <c r="B9" s="2">
        <v>46153</v>
      </c>
      <c r="C9" t="s">
        <v>25</v>
      </c>
      <c r="D9" t="s">
        <v>57</v>
      </c>
      <c r="E9" s="4">
        <v>13800</v>
      </c>
      <c r="F9" s="3">
        <v>2208</v>
      </c>
      <c r="G9" s="3">
        <v>16008</v>
      </c>
      <c r="H9" s="3">
        <v>2134.4</v>
      </c>
      <c r="I9" s="3">
        <v>0</v>
      </c>
      <c r="J9" s="3">
        <v>18142.400000000001</v>
      </c>
    </row>
    <row r="10" spans="1:11" x14ac:dyDescent="0.25">
      <c r="A10" t="s">
        <v>93</v>
      </c>
      <c r="B10" s="2">
        <v>46155</v>
      </c>
      <c r="C10" t="s">
        <v>26</v>
      </c>
      <c r="D10" t="s">
        <v>59</v>
      </c>
      <c r="E10" s="3">
        <v>16200</v>
      </c>
      <c r="F10" s="3">
        <v>2592</v>
      </c>
      <c r="G10" s="3">
        <v>18792</v>
      </c>
      <c r="H10" s="3">
        <v>0</v>
      </c>
      <c r="I10" s="3">
        <v>0</v>
      </c>
      <c r="J10" s="3">
        <v>18792</v>
      </c>
    </row>
    <row r="11" spans="1:11" x14ac:dyDescent="0.25">
      <c r="A11" t="s">
        <v>94</v>
      </c>
      <c r="B11" s="2">
        <v>46156</v>
      </c>
      <c r="C11" t="s">
        <v>27</v>
      </c>
      <c r="D11" t="s">
        <v>60</v>
      </c>
      <c r="E11" s="4">
        <v>19260</v>
      </c>
      <c r="F11" s="3">
        <v>3081.6</v>
      </c>
      <c r="G11" s="3">
        <v>22341.599999999999</v>
      </c>
      <c r="H11" s="3">
        <v>1241.2</v>
      </c>
      <c r="I11" s="3">
        <v>0</v>
      </c>
      <c r="J11" s="3">
        <v>23582.799999999999</v>
      </c>
    </row>
    <row r="12" spans="1:11" x14ac:dyDescent="0.25">
      <c r="A12" t="s">
        <v>95</v>
      </c>
      <c r="B12" s="2">
        <v>46158</v>
      </c>
      <c r="C12" t="s">
        <v>28</v>
      </c>
      <c r="D12" t="s">
        <v>61</v>
      </c>
      <c r="E12" s="3">
        <v>23310</v>
      </c>
      <c r="F12" s="3">
        <v>3729.6</v>
      </c>
      <c r="G12" s="3">
        <v>27039.599999999999</v>
      </c>
      <c r="H12" s="3">
        <v>0</v>
      </c>
      <c r="I12" s="3">
        <v>0</v>
      </c>
      <c r="J12" s="3">
        <v>27039.599999999999</v>
      </c>
    </row>
    <row r="13" spans="1:11" x14ac:dyDescent="0.25">
      <c r="A13" t="s">
        <v>96</v>
      </c>
      <c r="B13" s="2">
        <v>46159</v>
      </c>
      <c r="C13" t="s">
        <v>29</v>
      </c>
      <c r="D13" t="s">
        <v>62</v>
      </c>
      <c r="E13" s="3">
        <v>26280</v>
      </c>
      <c r="F13" s="3">
        <v>4204.8</v>
      </c>
      <c r="G13" s="3">
        <v>30484.799999999999</v>
      </c>
      <c r="H13" s="3">
        <v>0</v>
      </c>
      <c r="I13" s="3">
        <v>0</v>
      </c>
      <c r="J13" s="3">
        <v>30484.799999999999</v>
      </c>
    </row>
    <row r="14" spans="1:11" x14ac:dyDescent="0.25">
      <c r="A14" t="s">
        <v>97</v>
      </c>
      <c r="B14" s="2">
        <v>46161</v>
      </c>
      <c r="C14" t="s">
        <v>30</v>
      </c>
      <c r="D14" t="s">
        <v>63</v>
      </c>
      <c r="E14" s="4">
        <v>14820</v>
      </c>
      <c r="F14" s="3">
        <v>2371.1999999999998</v>
      </c>
      <c r="G14" s="3">
        <v>17191.2</v>
      </c>
      <c r="H14" s="3">
        <v>2644.8</v>
      </c>
      <c r="I14" s="3">
        <v>0</v>
      </c>
      <c r="J14" s="3">
        <v>19836</v>
      </c>
    </row>
    <row r="15" spans="1:11" x14ac:dyDescent="0.25">
      <c r="A15" t="s">
        <v>98</v>
      </c>
      <c r="B15" s="2">
        <v>46162</v>
      </c>
      <c r="C15" t="s">
        <v>31</v>
      </c>
      <c r="D15" t="s">
        <v>64</v>
      </c>
      <c r="E15" s="3">
        <v>17360</v>
      </c>
      <c r="F15" s="3">
        <v>2777.6</v>
      </c>
      <c r="G15" s="3">
        <v>20137.599999999999</v>
      </c>
      <c r="H15" s="3">
        <v>0</v>
      </c>
      <c r="I15" s="3">
        <v>0</v>
      </c>
      <c r="J15" s="3">
        <v>20137.599999999999</v>
      </c>
    </row>
    <row r="16" spans="1:11" x14ac:dyDescent="0.25">
      <c r="A16" t="s">
        <v>99</v>
      </c>
      <c r="B16" s="2">
        <v>46164</v>
      </c>
      <c r="C16" t="s">
        <v>32</v>
      </c>
      <c r="D16" t="s">
        <v>65</v>
      </c>
      <c r="E16" s="3">
        <v>22100</v>
      </c>
      <c r="F16" s="3">
        <v>3536</v>
      </c>
      <c r="G16" s="3">
        <v>25636</v>
      </c>
      <c r="H16" s="3">
        <v>0</v>
      </c>
      <c r="I16" s="3">
        <v>0</v>
      </c>
      <c r="J16" s="3">
        <v>25636</v>
      </c>
    </row>
    <row r="17" spans="1:11" x14ac:dyDescent="0.25">
      <c r="A17" t="s">
        <v>100</v>
      </c>
      <c r="B17" s="2">
        <v>46165</v>
      </c>
      <c r="C17" t="s">
        <v>33</v>
      </c>
      <c r="D17" t="s">
        <v>66</v>
      </c>
      <c r="E17" s="3">
        <v>24495</v>
      </c>
      <c r="F17" s="3">
        <v>3919.2</v>
      </c>
      <c r="G17" s="3">
        <v>28414.2</v>
      </c>
      <c r="H17" s="3">
        <v>0</v>
      </c>
      <c r="I17" s="3">
        <v>494.16</v>
      </c>
      <c r="J17" s="3">
        <v>27920.04</v>
      </c>
      <c r="K17" s="3"/>
    </row>
    <row r="18" spans="1:11" x14ac:dyDescent="0.25">
      <c r="A18" t="s">
        <v>101</v>
      </c>
      <c r="B18" s="2">
        <v>46167</v>
      </c>
      <c r="C18" t="s">
        <v>34</v>
      </c>
      <c r="D18" t="s">
        <v>67</v>
      </c>
      <c r="E18" s="3">
        <v>28340</v>
      </c>
      <c r="F18" s="3">
        <v>4534.3999999999996</v>
      </c>
      <c r="G18" s="3">
        <v>32874.400000000001</v>
      </c>
      <c r="H18" s="3">
        <v>0</v>
      </c>
      <c r="I18" s="3">
        <v>0</v>
      </c>
      <c r="J18" s="3">
        <v>32874.400000000001</v>
      </c>
    </row>
    <row r="19" spans="1:11" x14ac:dyDescent="0.25">
      <c r="A19" t="s">
        <v>102</v>
      </c>
      <c r="B19" s="2">
        <v>46168</v>
      </c>
      <c r="C19" t="s">
        <v>35</v>
      </c>
      <c r="D19" t="s">
        <v>68</v>
      </c>
      <c r="E19" s="3">
        <v>11600</v>
      </c>
      <c r="F19" s="3">
        <v>1856</v>
      </c>
      <c r="G19" s="3">
        <v>13456</v>
      </c>
      <c r="H19" s="3">
        <v>0</v>
      </c>
      <c r="I19" s="3">
        <v>0</v>
      </c>
      <c r="J19" s="3">
        <v>13456</v>
      </c>
    </row>
    <row r="20" spans="1:11" x14ac:dyDescent="0.25">
      <c r="A20" t="s">
        <v>103</v>
      </c>
      <c r="B20" s="2">
        <v>46170</v>
      </c>
      <c r="C20" t="s">
        <v>36</v>
      </c>
      <c r="D20" t="s">
        <v>69</v>
      </c>
      <c r="E20" s="3">
        <v>16128</v>
      </c>
      <c r="F20" s="3">
        <v>2580.48</v>
      </c>
      <c r="G20" s="3">
        <v>18708.48</v>
      </c>
      <c r="H20" s="3">
        <v>0</v>
      </c>
      <c r="I20" s="3">
        <v>0</v>
      </c>
      <c r="J20" s="3">
        <v>18708.48</v>
      </c>
    </row>
    <row r="21" spans="1:11" x14ac:dyDescent="0.25">
      <c r="A21" t="s">
        <v>104</v>
      </c>
      <c r="B21" s="2">
        <v>46172</v>
      </c>
      <c r="C21" t="s">
        <v>37</v>
      </c>
      <c r="D21" t="s">
        <v>70</v>
      </c>
      <c r="E21" s="3">
        <v>19360</v>
      </c>
      <c r="F21" s="3">
        <v>3097.6</v>
      </c>
      <c r="G21" s="3">
        <v>22457.599999999999</v>
      </c>
      <c r="H21" s="3">
        <v>0</v>
      </c>
      <c r="I21" s="3">
        <v>0</v>
      </c>
      <c r="J21" s="3">
        <v>22457.599999999999</v>
      </c>
    </row>
    <row r="22" spans="1:11" x14ac:dyDescent="0.25">
      <c r="E22" s="3">
        <f>SUM(E2:E21)</f>
        <v>378808</v>
      </c>
      <c r="F22" s="3">
        <f>SUM(F2:F21)</f>
        <v>60609.279999999992</v>
      </c>
      <c r="G22" s="3">
        <f>SUM(G2:G21)</f>
        <v>439417.27999999997</v>
      </c>
      <c r="H22" s="3">
        <f>SUM(H2:H21)</f>
        <v>7325.4000000000005</v>
      </c>
      <c r="I22" s="3">
        <f>SUM(I2:I21)</f>
        <v>1252.8</v>
      </c>
      <c r="J22" s="3">
        <f>SUM(J2:J21)</f>
        <v>445489.87999999989</v>
      </c>
      <c r="K22" s="3"/>
    </row>
    <row r="23" spans="1:11" x14ac:dyDescent="0.25">
      <c r="J23" s="3"/>
    </row>
  </sheetData>
  <autoFilter ref="A1:J21" xr:uid="{00000000-0009-0000-0000-000005000000}"/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4"/>
  <sheetViews>
    <sheetView topLeftCell="I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2" width="18" customWidth="1"/>
    <col min="3" max="3" width="20" customWidth="1"/>
    <col min="4" max="4" width="18" customWidth="1"/>
    <col min="5" max="5" width="32" customWidth="1"/>
    <col min="6" max="6" width="18" customWidth="1"/>
    <col min="7" max="7" width="16" customWidth="1"/>
    <col min="8" max="8" width="18" customWidth="1"/>
    <col min="9" max="9" width="13" customWidth="1"/>
    <col min="10" max="10" width="14" customWidth="1"/>
    <col min="11" max="11" width="20" customWidth="1"/>
    <col min="12" max="13" width="23" customWidth="1"/>
  </cols>
  <sheetData>
    <row r="1" spans="1:13" x14ac:dyDescent="0.25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71</v>
      </c>
      <c r="G1" s="1" t="s">
        <v>0</v>
      </c>
      <c r="H1" s="1" t="s">
        <v>38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</row>
    <row r="2" spans="1:13" x14ac:dyDescent="0.25">
      <c r="A2" t="s">
        <v>139</v>
      </c>
      <c r="B2" s="2">
        <v>46143</v>
      </c>
      <c r="C2" t="s">
        <v>140</v>
      </c>
      <c r="D2" t="s">
        <v>141</v>
      </c>
      <c r="E2" t="s">
        <v>142</v>
      </c>
      <c r="F2" t="s">
        <v>81</v>
      </c>
      <c r="G2" t="s">
        <v>13</v>
      </c>
      <c r="H2" s="3" t="s">
        <v>45</v>
      </c>
      <c r="I2" s="3">
        <v>10208</v>
      </c>
      <c r="J2" s="3">
        <v>0</v>
      </c>
      <c r="K2" s="3">
        <v>-10208</v>
      </c>
      <c r="L2">
        <v>139792</v>
      </c>
      <c r="M2" t="s">
        <v>143</v>
      </c>
    </row>
    <row r="3" spans="1:13" x14ac:dyDescent="0.25">
      <c r="A3" t="s">
        <v>139</v>
      </c>
      <c r="B3" s="2">
        <v>46144</v>
      </c>
      <c r="C3" t="s">
        <v>144</v>
      </c>
      <c r="D3" t="s">
        <v>141</v>
      </c>
      <c r="E3" t="s">
        <v>145</v>
      </c>
      <c r="F3" t="s">
        <v>86</v>
      </c>
      <c r="G3" t="s">
        <v>19</v>
      </c>
      <c r="H3" s="3" t="s">
        <v>50</v>
      </c>
      <c r="I3" s="3">
        <v>13717</v>
      </c>
      <c r="J3" s="3">
        <v>0</v>
      </c>
      <c r="K3" s="3">
        <v>-13717</v>
      </c>
      <c r="L3">
        <v>126075</v>
      </c>
      <c r="M3" t="s">
        <v>143</v>
      </c>
    </row>
    <row r="4" spans="1:13" x14ac:dyDescent="0.25">
      <c r="A4" t="s">
        <v>139</v>
      </c>
      <c r="B4" s="2">
        <v>46146</v>
      </c>
      <c r="C4" t="s">
        <v>146</v>
      </c>
      <c r="D4" t="s">
        <v>141</v>
      </c>
      <c r="E4" t="s">
        <v>147</v>
      </c>
      <c r="F4" t="s">
        <v>87</v>
      </c>
      <c r="G4" t="s">
        <v>20</v>
      </c>
      <c r="H4" s="3" t="s">
        <v>51</v>
      </c>
      <c r="I4" s="3">
        <v>15660</v>
      </c>
      <c r="J4" s="3">
        <v>0</v>
      </c>
      <c r="K4" s="3">
        <v>-15660</v>
      </c>
      <c r="L4">
        <v>110415</v>
      </c>
      <c r="M4" t="s">
        <v>143</v>
      </c>
    </row>
    <row r="5" spans="1:13" x14ac:dyDescent="0.25">
      <c r="A5" t="s">
        <v>139</v>
      </c>
      <c r="B5" s="2">
        <v>46147</v>
      </c>
      <c r="C5" t="s">
        <v>148</v>
      </c>
      <c r="D5" t="s">
        <v>141</v>
      </c>
      <c r="E5" t="s">
        <v>149</v>
      </c>
      <c r="F5" t="s">
        <v>88</v>
      </c>
      <c r="G5" t="s">
        <v>21</v>
      </c>
      <c r="H5" s="3" t="s">
        <v>53</v>
      </c>
      <c r="I5" s="3">
        <v>20706</v>
      </c>
      <c r="J5" s="3">
        <v>0</v>
      </c>
      <c r="K5" s="3">
        <v>-20706</v>
      </c>
      <c r="L5">
        <v>89709</v>
      </c>
      <c r="M5" t="s">
        <v>143</v>
      </c>
    </row>
    <row r="6" spans="1:13" x14ac:dyDescent="0.25">
      <c r="A6" t="s">
        <v>139</v>
      </c>
      <c r="B6" s="2">
        <v>46147</v>
      </c>
      <c r="C6" t="s">
        <v>150</v>
      </c>
      <c r="D6" t="s">
        <v>151</v>
      </c>
      <c r="E6" t="s">
        <v>152</v>
      </c>
      <c r="H6" s="3"/>
      <c r="I6" s="3">
        <v>0</v>
      </c>
      <c r="J6" s="3">
        <v>18500</v>
      </c>
      <c r="K6" s="3">
        <v>18500</v>
      </c>
      <c r="L6">
        <v>108209</v>
      </c>
      <c r="M6" t="s">
        <v>143</v>
      </c>
    </row>
    <row r="7" spans="1:13" x14ac:dyDescent="0.25">
      <c r="A7" t="s">
        <v>139</v>
      </c>
      <c r="B7" s="2">
        <v>46149</v>
      </c>
      <c r="C7" t="s">
        <v>153</v>
      </c>
      <c r="D7" t="s">
        <v>141</v>
      </c>
      <c r="E7" t="s">
        <v>154</v>
      </c>
      <c r="F7" t="s">
        <v>89</v>
      </c>
      <c r="G7" t="s">
        <v>22</v>
      </c>
      <c r="H7" s="3" t="s">
        <v>54</v>
      </c>
      <c r="I7" s="3">
        <v>23264.959999999999</v>
      </c>
      <c r="J7" s="3">
        <v>0</v>
      </c>
      <c r="K7" s="3">
        <v>-23264.959999999999</v>
      </c>
      <c r="L7">
        <v>84944.040000000008</v>
      </c>
      <c r="M7" t="s">
        <v>143</v>
      </c>
    </row>
    <row r="8" spans="1:13" x14ac:dyDescent="0.25">
      <c r="A8" t="s">
        <v>139</v>
      </c>
      <c r="B8" s="2">
        <v>46150</v>
      </c>
      <c r="C8" t="s">
        <v>155</v>
      </c>
      <c r="D8" t="s">
        <v>141</v>
      </c>
      <c r="E8" t="s">
        <v>156</v>
      </c>
      <c r="F8" t="s">
        <v>90</v>
      </c>
      <c r="G8" t="s">
        <v>23</v>
      </c>
      <c r="H8" s="3" t="s">
        <v>55</v>
      </c>
      <c r="I8" s="3">
        <v>27051.200000000001</v>
      </c>
      <c r="J8" s="3">
        <v>0</v>
      </c>
      <c r="K8" s="3">
        <v>-27051.200000000001</v>
      </c>
      <c r="L8">
        <v>57892.84</v>
      </c>
      <c r="M8" t="s">
        <v>143</v>
      </c>
    </row>
    <row r="9" spans="1:13" x14ac:dyDescent="0.25">
      <c r="A9" t="s">
        <v>139</v>
      </c>
      <c r="B9" s="2">
        <v>46152</v>
      </c>
      <c r="C9" t="s">
        <v>157</v>
      </c>
      <c r="D9" t="s">
        <v>141</v>
      </c>
      <c r="E9" t="s">
        <v>158</v>
      </c>
      <c r="F9" t="s">
        <v>91</v>
      </c>
      <c r="G9" t="s">
        <v>24</v>
      </c>
      <c r="H9" s="3" t="s">
        <v>56</v>
      </c>
      <c r="I9" s="3">
        <v>31900</v>
      </c>
      <c r="J9" s="3">
        <v>0</v>
      </c>
      <c r="K9" s="3">
        <v>-31900</v>
      </c>
      <c r="L9">
        <v>25992.84</v>
      </c>
      <c r="M9" t="s">
        <v>143</v>
      </c>
    </row>
    <row r="10" spans="1:13" x14ac:dyDescent="0.25">
      <c r="A10" t="s">
        <v>139</v>
      </c>
      <c r="B10" s="2">
        <v>46153</v>
      </c>
      <c r="C10" t="s">
        <v>159</v>
      </c>
      <c r="D10" t="s">
        <v>141</v>
      </c>
      <c r="E10" t="s">
        <v>160</v>
      </c>
      <c r="F10" t="s">
        <v>92</v>
      </c>
      <c r="G10" t="s">
        <v>25</v>
      </c>
      <c r="H10" s="3" t="s">
        <v>57</v>
      </c>
      <c r="I10" s="3">
        <v>11739.2</v>
      </c>
      <c r="J10" s="3">
        <v>0</v>
      </c>
      <c r="K10" s="3">
        <v>-11739.2</v>
      </c>
      <c r="L10">
        <v>14253.639999999979</v>
      </c>
      <c r="M10" t="s">
        <v>143</v>
      </c>
    </row>
    <row r="11" spans="1:13" x14ac:dyDescent="0.25">
      <c r="A11" t="s">
        <v>139</v>
      </c>
      <c r="B11" s="2">
        <v>46155</v>
      </c>
      <c r="C11" t="s">
        <v>161</v>
      </c>
      <c r="D11" t="s">
        <v>141</v>
      </c>
      <c r="E11" t="s">
        <v>162</v>
      </c>
      <c r="F11" t="s">
        <v>93</v>
      </c>
      <c r="G11" t="s">
        <v>26</v>
      </c>
      <c r="H11" s="3" t="s">
        <v>59</v>
      </c>
      <c r="I11" s="3">
        <v>18792</v>
      </c>
      <c r="J11" s="3">
        <v>0</v>
      </c>
      <c r="K11" s="3">
        <v>-18792</v>
      </c>
      <c r="L11">
        <v>-4538.3600000000151</v>
      </c>
      <c r="M11" t="s">
        <v>143</v>
      </c>
    </row>
    <row r="12" spans="1:13" x14ac:dyDescent="0.25">
      <c r="A12" t="s">
        <v>139</v>
      </c>
      <c r="B12" s="2">
        <v>46156</v>
      </c>
      <c r="C12" t="s">
        <v>163</v>
      </c>
      <c r="D12" t="s">
        <v>141</v>
      </c>
      <c r="E12" t="s">
        <v>164</v>
      </c>
      <c r="F12" t="s">
        <v>94</v>
      </c>
      <c r="G12" t="s">
        <v>27</v>
      </c>
      <c r="H12" s="3" t="s">
        <v>60</v>
      </c>
      <c r="I12" s="3">
        <v>21100.400000000001</v>
      </c>
      <c r="J12" s="3">
        <v>0</v>
      </c>
      <c r="K12" s="3">
        <v>-21100.400000000001</v>
      </c>
      <c r="L12">
        <v>-25638.760000000009</v>
      </c>
      <c r="M12" t="s">
        <v>143</v>
      </c>
    </row>
    <row r="13" spans="1:13" x14ac:dyDescent="0.25">
      <c r="A13" t="s">
        <v>139</v>
      </c>
      <c r="B13" s="2">
        <v>46158</v>
      </c>
      <c r="C13" t="s">
        <v>165</v>
      </c>
      <c r="D13" t="s">
        <v>141</v>
      </c>
      <c r="E13" t="s">
        <v>166</v>
      </c>
      <c r="F13" t="s">
        <v>95</v>
      </c>
      <c r="G13" t="s">
        <v>28</v>
      </c>
      <c r="H13" s="3" t="s">
        <v>61</v>
      </c>
      <c r="I13" s="3">
        <v>27039.599999999999</v>
      </c>
      <c r="J13" s="3">
        <v>0</v>
      </c>
      <c r="K13" s="3">
        <v>-27039.599999999999</v>
      </c>
      <c r="L13">
        <v>-52678.360000000022</v>
      </c>
      <c r="M13" t="s">
        <v>143</v>
      </c>
    </row>
    <row r="14" spans="1:13" x14ac:dyDescent="0.25">
      <c r="A14" t="s">
        <v>139</v>
      </c>
      <c r="B14" s="2">
        <v>46159</v>
      </c>
      <c r="C14" t="s">
        <v>167</v>
      </c>
      <c r="D14" t="s">
        <v>141</v>
      </c>
      <c r="E14" t="s">
        <v>168</v>
      </c>
      <c r="F14" t="s">
        <v>96</v>
      </c>
      <c r="G14" t="s">
        <v>29</v>
      </c>
      <c r="H14" s="3" t="s">
        <v>62</v>
      </c>
      <c r="I14" s="3">
        <v>30484.799999999999</v>
      </c>
      <c r="J14" s="3">
        <v>0</v>
      </c>
      <c r="K14" s="3">
        <v>-30484.799999999999</v>
      </c>
      <c r="L14">
        <v>-83163.16</v>
      </c>
      <c r="M14" t="s">
        <v>143</v>
      </c>
    </row>
    <row r="15" spans="1:13" x14ac:dyDescent="0.25">
      <c r="A15" t="s">
        <v>139</v>
      </c>
      <c r="B15" s="2">
        <v>46159</v>
      </c>
      <c r="C15" t="s">
        <v>169</v>
      </c>
      <c r="D15" t="s">
        <v>151</v>
      </c>
      <c r="E15" t="s">
        <v>152</v>
      </c>
      <c r="H15" s="3"/>
      <c r="I15" s="3">
        <v>0</v>
      </c>
      <c r="J15" s="3">
        <v>22000</v>
      </c>
      <c r="K15" s="3">
        <v>22000</v>
      </c>
      <c r="L15">
        <v>-61163.16</v>
      </c>
      <c r="M15" t="s">
        <v>143</v>
      </c>
    </row>
    <row r="16" spans="1:13" x14ac:dyDescent="0.25">
      <c r="A16" t="s">
        <v>139</v>
      </c>
      <c r="B16" s="2">
        <v>46161</v>
      </c>
      <c r="C16" t="s">
        <v>170</v>
      </c>
      <c r="D16" t="s">
        <v>141</v>
      </c>
      <c r="E16" t="s">
        <v>171</v>
      </c>
      <c r="F16" t="s">
        <v>97</v>
      </c>
      <c r="G16" t="s">
        <v>30</v>
      </c>
      <c r="H16" s="3" t="s">
        <v>63</v>
      </c>
      <c r="I16" s="3">
        <v>11901.6</v>
      </c>
      <c r="J16" s="3">
        <v>0</v>
      </c>
      <c r="K16" s="3">
        <v>-11901.6</v>
      </c>
      <c r="L16">
        <v>-73064.760000000009</v>
      </c>
      <c r="M16" t="s">
        <v>143</v>
      </c>
    </row>
    <row r="17" spans="1:13" x14ac:dyDescent="0.25">
      <c r="A17" t="s">
        <v>139</v>
      </c>
      <c r="B17" s="2">
        <v>46162</v>
      </c>
      <c r="C17" t="s">
        <v>172</v>
      </c>
      <c r="D17" t="s">
        <v>141</v>
      </c>
      <c r="E17" t="s">
        <v>173</v>
      </c>
      <c r="F17" t="s">
        <v>98</v>
      </c>
      <c r="G17" t="s">
        <v>31</v>
      </c>
      <c r="H17" s="3" t="s">
        <v>64</v>
      </c>
      <c r="I17" s="3">
        <v>20137.599999999999</v>
      </c>
      <c r="J17" s="3">
        <v>0</v>
      </c>
      <c r="K17" s="3">
        <v>-20137.599999999999</v>
      </c>
      <c r="L17">
        <v>-93202.360000000015</v>
      </c>
      <c r="M17" t="s">
        <v>143</v>
      </c>
    </row>
    <row r="18" spans="1:13" x14ac:dyDescent="0.25">
      <c r="A18" t="s">
        <v>139</v>
      </c>
      <c r="B18" s="2">
        <v>46164</v>
      </c>
      <c r="C18" t="s">
        <v>174</v>
      </c>
      <c r="D18" t="s">
        <v>141</v>
      </c>
      <c r="E18" t="s">
        <v>175</v>
      </c>
      <c r="F18" t="s">
        <v>99</v>
      </c>
      <c r="G18" t="s">
        <v>32</v>
      </c>
      <c r="H18" s="3" t="s">
        <v>65</v>
      </c>
      <c r="I18" s="3">
        <v>25636</v>
      </c>
      <c r="J18" s="3">
        <v>0</v>
      </c>
      <c r="K18" s="3">
        <v>-25636</v>
      </c>
      <c r="L18">
        <v>-118838.36</v>
      </c>
      <c r="M18" t="s">
        <v>143</v>
      </c>
    </row>
    <row r="19" spans="1:13" x14ac:dyDescent="0.25">
      <c r="A19" t="s">
        <v>139</v>
      </c>
      <c r="B19" s="2">
        <v>46165</v>
      </c>
      <c r="C19" t="s">
        <v>176</v>
      </c>
      <c r="D19" t="s">
        <v>141</v>
      </c>
      <c r="E19" t="s">
        <v>177</v>
      </c>
      <c r="F19" t="s">
        <v>100</v>
      </c>
      <c r="G19" t="s">
        <v>33</v>
      </c>
      <c r="H19" s="3" t="s">
        <v>66</v>
      </c>
      <c r="I19" s="3">
        <v>27920.04</v>
      </c>
      <c r="J19" s="3">
        <v>0</v>
      </c>
      <c r="K19" s="3">
        <v>-27920.04</v>
      </c>
      <c r="L19">
        <v>-146758.39999999999</v>
      </c>
      <c r="M19" t="s">
        <v>143</v>
      </c>
    </row>
    <row r="20" spans="1:13" x14ac:dyDescent="0.25">
      <c r="A20" t="s">
        <v>139</v>
      </c>
      <c r="B20" s="2">
        <v>46167</v>
      </c>
      <c r="C20" t="s">
        <v>178</v>
      </c>
      <c r="D20" t="s">
        <v>141</v>
      </c>
      <c r="E20" t="s">
        <v>179</v>
      </c>
      <c r="F20" t="s">
        <v>101</v>
      </c>
      <c r="G20" t="s">
        <v>34</v>
      </c>
      <c r="H20" s="3" t="s">
        <v>67</v>
      </c>
      <c r="I20" s="3">
        <v>32874.400000000001</v>
      </c>
      <c r="J20" s="3">
        <v>0</v>
      </c>
      <c r="K20" s="3">
        <v>-32874.400000000001</v>
      </c>
      <c r="L20">
        <v>-179632.8</v>
      </c>
      <c r="M20" t="s">
        <v>143</v>
      </c>
    </row>
    <row r="21" spans="1:13" x14ac:dyDescent="0.25">
      <c r="A21" t="s">
        <v>139</v>
      </c>
      <c r="B21" s="2">
        <v>46168</v>
      </c>
      <c r="C21" t="s">
        <v>180</v>
      </c>
      <c r="D21" t="s">
        <v>141</v>
      </c>
      <c r="E21" t="s">
        <v>181</v>
      </c>
      <c r="F21" t="s">
        <v>102</v>
      </c>
      <c r="G21" t="s">
        <v>35</v>
      </c>
      <c r="H21" s="3" t="s">
        <v>68</v>
      </c>
      <c r="I21" s="3">
        <v>13456</v>
      </c>
      <c r="J21" s="3">
        <v>0</v>
      </c>
      <c r="K21" s="3">
        <v>-13456</v>
      </c>
      <c r="L21">
        <v>-193088.8</v>
      </c>
      <c r="M21" t="s">
        <v>143</v>
      </c>
    </row>
    <row r="22" spans="1:13" x14ac:dyDescent="0.25">
      <c r="A22" t="s">
        <v>139</v>
      </c>
      <c r="B22" s="2">
        <v>46170</v>
      </c>
      <c r="C22" t="s">
        <v>182</v>
      </c>
      <c r="D22" t="s">
        <v>141</v>
      </c>
      <c r="E22" t="s">
        <v>183</v>
      </c>
      <c r="F22" t="s">
        <v>103</v>
      </c>
      <c r="G22" t="s">
        <v>36</v>
      </c>
      <c r="H22" s="3" t="s">
        <v>69</v>
      </c>
      <c r="I22" s="3">
        <v>18708.48</v>
      </c>
      <c r="J22" s="3">
        <v>0</v>
      </c>
      <c r="K22" s="3">
        <v>-18708.48</v>
      </c>
      <c r="L22">
        <v>-211797.28</v>
      </c>
      <c r="M22" t="s">
        <v>143</v>
      </c>
    </row>
    <row r="23" spans="1:13" x14ac:dyDescent="0.25">
      <c r="A23" t="s">
        <v>139</v>
      </c>
      <c r="B23" s="2">
        <v>46170</v>
      </c>
      <c r="C23" t="s">
        <v>184</v>
      </c>
      <c r="D23" t="s">
        <v>151</v>
      </c>
      <c r="E23" t="s">
        <v>152</v>
      </c>
      <c r="H23" s="3"/>
      <c r="I23" s="3">
        <v>0</v>
      </c>
      <c r="J23" s="3">
        <v>15000</v>
      </c>
      <c r="K23" s="3">
        <v>15000</v>
      </c>
      <c r="L23">
        <v>-196797.28</v>
      </c>
      <c r="M23" t="s">
        <v>143</v>
      </c>
    </row>
    <row r="24" spans="1:13" x14ac:dyDescent="0.25">
      <c r="A24" t="s">
        <v>139</v>
      </c>
      <c r="B24" s="2">
        <v>46172</v>
      </c>
      <c r="C24" t="s">
        <v>185</v>
      </c>
      <c r="D24" t="s">
        <v>141</v>
      </c>
      <c r="E24" t="s">
        <v>186</v>
      </c>
      <c r="F24" t="s">
        <v>104</v>
      </c>
      <c r="G24" t="s">
        <v>37</v>
      </c>
      <c r="H24" s="3" t="s">
        <v>70</v>
      </c>
      <c r="I24" s="3">
        <v>22457.599999999999</v>
      </c>
      <c r="J24" s="3">
        <v>0</v>
      </c>
      <c r="K24" s="3">
        <v>-22457.599999999999</v>
      </c>
      <c r="L24">
        <v>-219254.87999999989</v>
      </c>
      <c r="M24" t="s">
        <v>143</v>
      </c>
    </row>
  </sheetData>
  <autoFilter ref="A1:M24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2"/>
  <sheetViews>
    <sheetView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2" width="32" customWidth="1"/>
    <col min="3" max="3" width="10.140625" bestFit="1" customWidth="1"/>
  </cols>
  <sheetData>
    <row r="1" spans="1:2" x14ac:dyDescent="0.25">
      <c r="A1" s="1" t="s">
        <v>187</v>
      </c>
      <c r="B1" s="1" t="s">
        <v>188</v>
      </c>
    </row>
    <row r="2" spans="1:2" x14ac:dyDescent="0.25">
      <c r="A2" t="s">
        <v>189</v>
      </c>
      <c r="B2" t="s">
        <v>190</v>
      </c>
    </row>
    <row r="3" spans="1:2" x14ac:dyDescent="0.25">
      <c r="A3" t="s">
        <v>191</v>
      </c>
      <c r="B3" s="5">
        <v>373563</v>
      </c>
    </row>
    <row r="4" spans="1:2" x14ac:dyDescent="0.25">
      <c r="A4" t="s">
        <v>192</v>
      </c>
      <c r="B4" s="5">
        <v>59770.080000000002</v>
      </c>
    </row>
    <row r="5" spans="1:2" x14ac:dyDescent="0.25">
      <c r="A5" t="s">
        <v>193</v>
      </c>
      <c r="B5" s="5">
        <v>1010.4</v>
      </c>
    </row>
    <row r="6" spans="1:2" x14ac:dyDescent="0.25">
      <c r="A6" t="s">
        <v>194</v>
      </c>
      <c r="B6" s="5">
        <v>172.8</v>
      </c>
    </row>
    <row r="7" spans="1:2" x14ac:dyDescent="0.25">
      <c r="A7" t="s">
        <v>195</v>
      </c>
      <c r="B7" s="5">
        <v>60609.279999999999</v>
      </c>
    </row>
    <row r="8" spans="1:2" x14ac:dyDescent="0.25">
      <c r="A8" t="s">
        <v>196</v>
      </c>
      <c r="B8" s="5">
        <v>439417.28</v>
      </c>
    </row>
    <row r="9" spans="1:2" x14ac:dyDescent="0.25">
      <c r="A9" t="s">
        <v>197</v>
      </c>
      <c r="B9" s="5">
        <v>445489.88</v>
      </c>
    </row>
    <row r="10" spans="1:2" x14ac:dyDescent="0.25">
      <c r="A10" t="s">
        <v>198</v>
      </c>
      <c r="B10" t="s">
        <v>199</v>
      </c>
    </row>
    <row r="11" spans="1:2" x14ac:dyDescent="0.25">
      <c r="A11" t="s">
        <v>200</v>
      </c>
      <c r="B11" t="s">
        <v>201</v>
      </c>
    </row>
    <row r="12" spans="1:2" x14ac:dyDescent="0.25">
      <c r="A12" t="s">
        <v>202</v>
      </c>
      <c r="B12" t="s">
        <v>203</v>
      </c>
    </row>
  </sheetData>
  <autoFilter ref="A1:B12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topLeftCell="C1" workbookViewId="0">
      <pane ySplit="1" topLeftCell="A2" activePane="bottomLeft" state="frozen"/>
      <selection pane="bottomLeft" activeCell="E4" sqref="E4"/>
    </sheetView>
  </sheetViews>
  <sheetFormatPr defaultRowHeight="15" x14ac:dyDescent="0.25"/>
  <cols>
    <col min="1" max="1" width="18" customWidth="1"/>
    <col min="2" max="2" width="16" customWidth="1"/>
    <col min="3" max="3" width="18" customWidth="1"/>
    <col min="4" max="4" width="22" customWidth="1"/>
    <col min="5" max="5" width="20" customWidth="1"/>
    <col min="6" max="6" width="18" customWidth="1"/>
    <col min="7" max="7" width="19" customWidth="1"/>
    <col min="8" max="8" width="17" customWidth="1"/>
  </cols>
  <sheetData>
    <row r="1" spans="1:8" x14ac:dyDescent="0.25">
      <c r="A1" s="1" t="s">
        <v>71</v>
      </c>
      <c r="B1" s="1" t="s">
        <v>0</v>
      </c>
      <c r="C1" s="1" t="s">
        <v>38</v>
      </c>
      <c r="D1" s="1" t="s">
        <v>75</v>
      </c>
      <c r="E1" s="1" t="s">
        <v>78</v>
      </c>
      <c r="F1" s="1" t="s">
        <v>204</v>
      </c>
      <c r="G1" s="1" t="s">
        <v>205</v>
      </c>
      <c r="H1" s="1" t="s">
        <v>206</v>
      </c>
    </row>
    <row r="2" spans="1:8" x14ac:dyDescent="0.25">
      <c r="A2" t="s">
        <v>81</v>
      </c>
      <c r="B2" t="s">
        <v>13</v>
      </c>
      <c r="C2" t="s">
        <v>45</v>
      </c>
      <c r="D2">
        <v>40</v>
      </c>
      <c r="E2">
        <v>10208</v>
      </c>
      <c r="F2">
        <v>40</v>
      </c>
      <c r="G2">
        <v>40</v>
      </c>
      <c r="H2" t="s">
        <v>207</v>
      </c>
    </row>
    <row r="3" spans="1:8" x14ac:dyDescent="0.25">
      <c r="A3" t="s">
        <v>86</v>
      </c>
      <c r="B3" t="s">
        <v>19</v>
      </c>
      <c r="C3" t="s">
        <v>50</v>
      </c>
      <c r="D3">
        <v>55</v>
      </c>
      <c r="E3">
        <v>13717</v>
      </c>
      <c r="F3">
        <v>55</v>
      </c>
      <c r="G3">
        <v>55</v>
      </c>
      <c r="H3" t="s">
        <v>207</v>
      </c>
    </row>
    <row r="4" spans="1:8" x14ac:dyDescent="0.25">
      <c r="A4" t="s">
        <v>87</v>
      </c>
      <c r="B4" t="s">
        <v>20</v>
      </c>
      <c r="C4" t="s">
        <v>51</v>
      </c>
      <c r="D4">
        <v>65</v>
      </c>
      <c r="E4">
        <v>16965</v>
      </c>
      <c r="F4">
        <v>70</v>
      </c>
      <c r="G4">
        <v>65</v>
      </c>
      <c r="H4" t="s">
        <v>207</v>
      </c>
    </row>
    <row r="5" spans="1:8" x14ac:dyDescent="0.25">
      <c r="A5" t="s">
        <v>88</v>
      </c>
      <c r="B5" t="s">
        <v>21</v>
      </c>
      <c r="C5" t="s">
        <v>53</v>
      </c>
      <c r="D5">
        <v>85</v>
      </c>
      <c r="E5">
        <v>20706</v>
      </c>
      <c r="F5">
        <v>85</v>
      </c>
      <c r="G5">
        <v>85</v>
      </c>
      <c r="H5" t="s">
        <v>207</v>
      </c>
    </row>
    <row r="6" spans="1:8" x14ac:dyDescent="0.25">
      <c r="A6" t="s">
        <v>89</v>
      </c>
      <c r="B6" t="s">
        <v>22</v>
      </c>
      <c r="C6" t="s">
        <v>54</v>
      </c>
      <c r="D6">
        <v>95</v>
      </c>
      <c r="E6">
        <v>24023.599999999999</v>
      </c>
      <c r="F6">
        <v>95</v>
      </c>
      <c r="G6">
        <v>95</v>
      </c>
      <c r="H6" t="s">
        <v>207</v>
      </c>
    </row>
    <row r="7" spans="1:8" x14ac:dyDescent="0.25">
      <c r="A7" t="s">
        <v>90</v>
      </c>
      <c r="B7" t="s">
        <v>23</v>
      </c>
      <c r="C7" t="s">
        <v>55</v>
      </c>
      <c r="D7">
        <v>110</v>
      </c>
      <c r="E7">
        <v>27051.200000000001</v>
      </c>
      <c r="F7">
        <v>110</v>
      </c>
      <c r="G7">
        <v>110</v>
      </c>
      <c r="H7" t="s">
        <v>207</v>
      </c>
    </row>
    <row r="8" spans="1:8" x14ac:dyDescent="0.25">
      <c r="A8" t="s">
        <v>91</v>
      </c>
      <c r="B8" t="s">
        <v>24</v>
      </c>
      <c r="C8" t="s">
        <v>56</v>
      </c>
      <c r="D8">
        <v>125</v>
      </c>
      <c r="E8">
        <v>31900</v>
      </c>
      <c r="F8">
        <v>125</v>
      </c>
      <c r="G8">
        <v>125</v>
      </c>
      <c r="H8" t="s">
        <v>207</v>
      </c>
    </row>
    <row r="9" spans="1:8" x14ac:dyDescent="0.25">
      <c r="A9" t="s">
        <v>92</v>
      </c>
      <c r="B9" t="s">
        <v>25</v>
      </c>
      <c r="C9" t="s">
        <v>57</v>
      </c>
      <c r="D9">
        <v>52</v>
      </c>
      <c r="E9">
        <v>13873.6</v>
      </c>
      <c r="F9">
        <v>60</v>
      </c>
      <c r="G9">
        <v>52</v>
      </c>
      <c r="H9" t="s">
        <v>207</v>
      </c>
    </row>
    <row r="10" spans="1:8" x14ac:dyDescent="0.25">
      <c r="A10" t="s">
        <v>93</v>
      </c>
      <c r="B10" t="s">
        <v>26</v>
      </c>
      <c r="C10" t="s">
        <v>59</v>
      </c>
      <c r="D10">
        <v>75</v>
      </c>
      <c r="E10">
        <v>18792</v>
      </c>
      <c r="F10">
        <v>75</v>
      </c>
      <c r="G10">
        <v>75</v>
      </c>
      <c r="H10" t="s">
        <v>207</v>
      </c>
    </row>
    <row r="11" spans="1:8" x14ac:dyDescent="0.25">
      <c r="A11" t="s">
        <v>94</v>
      </c>
      <c r="B11" t="s">
        <v>27</v>
      </c>
      <c r="C11" t="s">
        <v>60</v>
      </c>
      <c r="D11">
        <v>90</v>
      </c>
      <c r="E11">
        <v>22341.599999999999</v>
      </c>
      <c r="F11">
        <v>90</v>
      </c>
      <c r="G11">
        <v>90</v>
      </c>
      <c r="H11" t="s">
        <v>207</v>
      </c>
    </row>
    <row r="12" spans="1:8" x14ac:dyDescent="0.25">
      <c r="A12" t="s">
        <v>95</v>
      </c>
      <c r="B12" t="s">
        <v>28</v>
      </c>
      <c r="C12" t="s">
        <v>61</v>
      </c>
      <c r="D12">
        <v>105</v>
      </c>
      <c r="E12">
        <v>27039.599999999999</v>
      </c>
      <c r="F12">
        <v>105</v>
      </c>
      <c r="G12">
        <v>105</v>
      </c>
      <c r="H12" t="s">
        <v>207</v>
      </c>
    </row>
    <row r="13" spans="1:8" x14ac:dyDescent="0.25">
      <c r="A13" t="s">
        <v>96</v>
      </c>
      <c r="B13" t="s">
        <v>29</v>
      </c>
      <c r="C13" t="s">
        <v>62</v>
      </c>
      <c r="D13">
        <v>120</v>
      </c>
      <c r="E13">
        <v>30484.799999999999</v>
      </c>
      <c r="F13">
        <v>120</v>
      </c>
      <c r="G13">
        <v>120</v>
      </c>
      <c r="H13" t="s">
        <v>207</v>
      </c>
    </row>
    <row r="14" spans="1:8" x14ac:dyDescent="0.25">
      <c r="A14" t="s">
        <v>97</v>
      </c>
      <c r="B14" t="s">
        <v>30</v>
      </c>
      <c r="C14" t="s">
        <v>63</v>
      </c>
      <c r="D14">
        <v>55</v>
      </c>
      <c r="E14">
        <v>14546.4</v>
      </c>
      <c r="F14">
        <v>65</v>
      </c>
      <c r="G14">
        <v>55</v>
      </c>
      <c r="H14" t="s">
        <v>207</v>
      </c>
    </row>
    <row r="15" spans="1:8" x14ac:dyDescent="0.25">
      <c r="A15" t="s">
        <v>98</v>
      </c>
      <c r="B15" t="s">
        <v>31</v>
      </c>
      <c r="C15" t="s">
        <v>64</v>
      </c>
      <c r="D15">
        <v>80</v>
      </c>
      <c r="E15">
        <v>20137.599999999999</v>
      </c>
      <c r="F15">
        <v>80</v>
      </c>
      <c r="G15">
        <v>80</v>
      </c>
      <c r="H15" t="s">
        <v>207</v>
      </c>
    </row>
    <row r="16" spans="1:8" x14ac:dyDescent="0.25">
      <c r="A16" t="s">
        <v>99</v>
      </c>
      <c r="B16" t="s">
        <v>32</v>
      </c>
      <c r="C16" t="s">
        <v>65</v>
      </c>
      <c r="D16">
        <v>100</v>
      </c>
      <c r="E16">
        <v>25636</v>
      </c>
      <c r="F16">
        <v>100</v>
      </c>
      <c r="G16">
        <v>100</v>
      </c>
      <c r="H16" t="s">
        <v>207</v>
      </c>
    </row>
    <row r="17" spans="1:8" x14ac:dyDescent="0.25">
      <c r="A17" t="s">
        <v>100</v>
      </c>
      <c r="B17" t="s">
        <v>33</v>
      </c>
      <c r="C17" t="s">
        <v>66</v>
      </c>
      <c r="D17">
        <v>115</v>
      </c>
      <c r="E17">
        <v>28414.2</v>
      </c>
      <c r="F17">
        <v>115</v>
      </c>
      <c r="G17">
        <v>115</v>
      </c>
      <c r="H17" t="s">
        <v>207</v>
      </c>
    </row>
    <row r="18" spans="1:8" x14ac:dyDescent="0.25">
      <c r="A18" t="s">
        <v>101</v>
      </c>
      <c r="B18" t="s">
        <v>34</v>
      </c>
      <c r="C18" t="s">
        <v>67</v>
      </c>
      <c r="D18">
        <v>130</v>
      </c>
      <c r="E18">
        <v>32874.400000000001</v>
      </c>
      <c r="F18">
        <v>130</v>
      </c>
      <c r="G18">
        <v>130</v>
      </c>
      <c r="H18" t="s">
        <v>207</v>
      </c>
    </row>
    <row r="19" spans="1:8" x14ac:dyDescent="0.25">
      <c r="A19" t="s">
        <v>102</v>
      </c>
      <c r="B19" t="s">
        <v>35</v>
      </c>
      <c r="C19" t="s">
        <v>68</v>
      </c>
      <c r="D19">
        <v>50</v>
      </c>
      <c r="E19">
        <v>13456</v>
      </c>
      <c r="F19">
        <v>50</v>
      </c>
      <c r="G19">
        <v>50</v>
      </c>
      <c r="H19" t="s">
        <v>207</v>
      </c>
    </row>
    <row r="20" spans="1:8" x14ac:dyDescent="0.25">
      <c r="A20" t="s">
        <v>103</v>
      </c>
      <c r="B20" t="s">
        <v>36</v>
      </c>
      <c r="C20" t="s">
        <v>69</v>
      </c>
      <c r="D20">
        <v>72</v>
      </c>
      <c r="E20">
        <v>18708.48</v>
      </c>
      <c r="F20">
        <v>72</v>
      </c>
      <c r="G20">
        <v>72</v>
      </c>
      <c r="H20" t="s">
        <v>207</v>
      </c>
    </row>
    <row r="21" spans="1:8" x14ac:dyDescent="0.25">
      <c r="A21" t="s">
        <v>104</v>
      </c>
      <c r="B21" t="s">
        <v>37</v>
      </c>
      <c r="C21" t="s">
        <v>70</v>
      </c>
      <c r="D21">
        <v>88</v>
      </c>
      <c r="E21">
        <v>22457.599999999999</v>
      </c>
      <c r="F21">
        <v>88</v>
      </c>
      <c r="G21">
        <v>88</v>
      </c>
      <c r="H21" t="s">
        <v>207</v>
      </c>
    </row>
  </sheetData>
  <autoFilter ref="A1:H2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tabSelected="1" workbookViewId="0">
      <pane ySplit="1" topLeftCell="A2" activePane="bottomLeft" state="frozen"/>
      <selection pane="bottomLeft" activeCell="C13" sqref="C13"/>
    </sheetView>
  </sheetViews>
  <sheetFormatPr defaultRowHeight="15" x14ac:dyDescent="0.25"/>
  <cols>
    <col min="1" max="1" width="24" customWidth="1"/>
    <col min="2" max="2" width="32" customWidth="1"/>
  </cols>
  <sheetData>
    <row r="1" spans="1:2" x14ac:dyDescent="0.25">
      <c r="A1" s="1" t="s">
        <v>208</v>
      </c>
      <c r="B1" s="1" t="s">
        <v>209</v>
      </c>
    </row>
    <row r="2" spans="1:2" x14ac:dyDescent="0.25">
      <c r="A2" t="s">
        <v>210</v>
      </c>
      <c r="B2" t="s">
        <v>211</v>
      </c>
    </row>
    <row r="3" spans="1:2" x14ac:dyDescent="0.25">
      <c r="A3" t="s">
        <v>212</v>
      </c>
      <c r="B3" t="s">
        <v>213</v>
      </c>
    </row>
    <row r="4" spans="1:2" x14ac:dyDescent="0.25">
      <c r="A4" t="s">
        <v>214</v>
      </c>
      <c r="B4" t="s">
        <v>215</v>
      </c>
    </row>
    <row r="5" spans="1:2" x14ac:dyDescent="0.25">
      <c r="A5" t="s">
        <v>4</v>
      </c>
      <c r="B5" t="s">
        <v>16</v>
      </c>
    </row>
    <row r="6" spans="1:2" x14ac:dyDescent="0.25">
      <c r="A6" t="s">
        <v>7</v>
      </c>
      <c r="B6" t="s">
        <v>17</v>
      </c>
    </row>
    <row r="7" spans="1:2" x14ac:dyDescent="0.25">
      <c r="A7" t="s">
        <v>216</v>
      </c>
      <c r="B7" t="s">
        <v>217</v>
      </c>
    </row>
    <row r="8" spans="1:2" x14ac:dyDescent="0.25">
      <c r="A8" t="s">
        <v>218</v>
      </c>
      <c r="B8" t="s">
        <v>219</v>
      </c>
    </row>
    <row r="9" spans="1:2" x14ac:dyDescent="0.25">
      <c r="A9" t="s">
        <v>220</v>
      </c>
      <c r="B9" t="s">
        <v>221</v>
      </c>
    </row>
    <row r="10" spans="1:2" x14ac:dyDescent="0.25">
      <c r="A10" t="s">
        <v>222</v>
      </c>
      <c r="B10" t="s">
        <v>223</v>
      </c>
    </row>
    <row r="11" spans="1:2" x14ac:dyDescent="0.25">
      <c r="A11" t="s">
        <v>224</v>
      </c>
      <c r="B11" t="s">
        <v>225</v>
      </c>
    </row>
  </sheetData>
  <autoFilter ref="A1:B11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01 Purchase Orders</vt:lpstr>
      <vt:lpstr>02 Receipt Notes</vt:lpstr>
      <vt:lpstr>03 Tax Invoices</vt:lpstr>
      <vt:lpstr>04 Debit Notes</vt:lpstr>
      <vt:lpstr>05 Credit Notes</vt:lpstr>
      <vt:lpstr>06 AP Reconciliation</vt:lpstr>
      <vt:lpstr>07 Bank Statement</vt:lpstr>
      <vt:lpstr>08 Tax Summary</vt:lpstr>
      <vt:lpstr>09 Three-Way Match</vt:lpstr>
      <vt:lpstr>00 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</cp:lastModifiedBy>
  <dcterms:created xsi:type="dcterms:W3CDTF">2026-10-03T09:33:08Z</dcterms:created>
  <dcterms:modified xsi:type="dcterms:W3CDTF">2026-10-23T07:13:04Z</dcterms:modified>
</cp:coreProperties>
</file>